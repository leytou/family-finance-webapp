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月度现金流" sheetId="2" state="visible" r:id="rId2"/>
    <sheet name="月度现金流（买房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;(¥#,##0);&quot;-&quot;"/>
    <numFmt numFmtId="165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color rgb="002D3748"/>
    </font>
    <font>
      <b val="1"/>
    </font>
    <font>
      <color rgb="002B6CB0"/>
    </font>
    <font>
      <b val="1"/>
      <color rgb="00FFFFFF"/>
      <sz val="16"/>
    </font>
    <font>
      <color rgb="00718096"/>
      <sz val="10"/>
    </font>
    <font>
      <b val="1"/>
      <color rgb="00FFFFFF"/>
      <sz val="12"/>
    </font>
    <font>
      <b val="1"/>
      <color rgb="00FFFFFF"/>
      <sz val="9"/>
    </font>
    <font>
      <color rgb="00718096"/>
      <sz val="9"/>
    </font>
    <font>
      <b val="1"/>
      <color rgb="00FFFFFF"/>
      <sz val="10"/>
    </font>
    <font>
      <b val="1"/>
      <sz val="10"/>
    </font>
    <font>
      <b val="1"/>
      <color rgb="002D3748"/>
      <sz val="10"/>
    </font>
    <font>
      <sz val="10"/>
    </font>
    <font>
      <color rgb="002F855A"/>
    </font>
    <font>
      <b val="1"/>
      <color rgb="002D3748"/>
    </font>
    <font>
      <i val="1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FEF3C7"/>
      </patternFill>
    </fill>
    <fill>
      <patternFill patternType="solid">
        <fgColor rgb="00E6F4EA"/>
      </patternFill>
    </fill>
    <fill>
      <patternFill patternType="solid">
        <fgColor rgb="00EDF2F7"/>
      </patternFill>
    </fill>
    <fill>
      <patternFill patternType="solid">
        <fgColor rgb="004A90D9"/>
      </patternFill>
    </fill>
    <fill>
      <patternFill patternType="solid">
        <fgColor rgb="00EBF4FF"/>
      </patternFill>
    </fill>
    <fill>
      <patternFill patternType="solid">
        <fgColor rgb="00E2E8F0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indent="1"/>
    </xf>
    <xf numFmtId="164" fontId="4" fillId="8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1"/>
    </xf>
    <xf numFmtId="1" fontId="4" fillId="8" borderId="0" applyAlignment="1" pivotButton="0" quotePrefix="0" xfId="0">
      <alignment horizontal="right" vertical="center"/>
    </xf>
    <xf numFmtId="165" fontId="4" fillId="8" borderId="0" applyAlignment="1" pivotButton="0" quotePrefix="0" xfId="0">
      <alignment horizontal="right" vertical="center"/>
    </xf>
    <xf numFmtId="9" fontId="4" fillId="8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indent="1"/>
    </xf>
    <xf numFmtId="164" fontId="2" fillId="8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3" fillId="0" borderId="1" applyAlignment="1" pivotButton="0" quotePrefix="0" xfId="0">
      <alignment horizontal="left" vertical="center" indent="1"/>
    </xf>
    <xf numFmtId="164" fontId="14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indent="1"/>
    </xf>
    <xf numFmtId="164" fontId="15" fillId="5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left" vertical="center" wrapText="1" indent="1"/>
    </xf>
    <xf numFmtId="0" fontId="11" fillId="10" borderId="1" applyAlignment="1" pivotButton="0" quotePrefix="0" xfId="0">
      <alignment horizontal="left" vertical="center" indent="1"/>
    </xf>
    <xf numFmtId="164" fontId="15" fillId="10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indent="1"/>
    </xf>
    <xf numFmtId="164" fontId="15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6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0" customHeight="1">
      <c r="A1" s="1" t="inlineStr">
        <is>
          <t>家庭5年财务规划（2026-2030）</t>
        </is>
      </c>
    </row>
    <row r="2" ht="22" customHeight="1">
      <c r="A2" s="2" t="inlineStr">
        <is>
          <t>制定日期：2026年2月  |  规划周期：2026年2月 - 2030年12月</t>
        </is>
      </c>
    </row>
    <row r="4" ht="28" customHeight="1">
      <c r="A4" s="3" t="inlineStr">
        <is>
          <t>📋 基本财务假设</t>
        </is>
      </c>
    </row>
    <row r="5" ht="30" customHeight="1">
      <c r="A5" s="4" t="inlineStr">
        <is>
          <t>参数名</t>
        </is>
      </c>
      <c r="B5" s="4" t="inlineStr">
        <is>
          <t>初始值</t>
        </is>
      </c>
      <c r="C5" s="4" t="inlineStr">
        <is>
          <t>备注</t>
        </is>
      </c>
      <c r="D5" s="4" t="inlineStr">
        <is>
          <t>变更1生效
(YYYYMM)</t>
        </is>
      </c>
      <c r="E5" s="4" t="inlineStr">
        <is>
          <t>变更1值</t>
        </is>
      </c>
      <c r="F5" s="4" t="inlineStr">
        <is>
          <t>变更2生效
(YYYYMM)</t>
        </is>
      </c>
      <c r="G5" s="4" t="inlineStr">
        <is>
          <t>变更2值</t>
        </is>
      </c>
      <c r="H5" s="4" t="inlineStr">
        <is>
          <t>变更3生效
(YYYYMM)</t>
        </is>
      </c>
      <c r="I5" s="4" t="inlineStr">
        <is>
          <t>变更3值</t>
        </is>
      </c>
      <c r="J5" s="4" t="inlineStr">
        <is>
          <t>变更4生效
(YYYYMM)</t>
        </is>
      </c>
      <c r="K5" s="4" t="inlineStr">
        <is>
          <t>变更4值</t>
        </is>
      </c>
      <c r="L5" s="4" t="inlineStr">
        <is>
          <t>变更5生效
(YYYYMM)</t>
        </is>
      </c>
      <c r="M5" s="4" t="inlineStr">
        <is>
          <t>变更5值</t>
        </is>
      </c>
    </row>
    <row r="6" ht="22" customHeight="1">
      <c r="A6" s="5" t="inlineStr">
        <is>
          <t>双方月可支配收入合计</t>
        </is>
      </c>
      <c r="B6" s="6" t="n">
        <v>26000</v>
      </c>
      <c r="C6" s="7" t="inlineStr">
        <is>
          <t>每月税后可支配收入</t>
        </is>
      </c>
      <c r="D6" s="8" t="n"/>
      <c r="E6" s="6" t="n"/>
      <c r="F6" s="8" t="n"/>
      <c r="G6" s="6" t="n"/>
      <c r="H6" s="8" t="n"/>
      <c r="I6" s="6" t="n"/>
      <c r="J6" s="8" t="n"/>
      <c r="K6" s="6" t="n"/>
      <c r="L6" s="8" t="n"/>
      <c r="M6" s="6" t="n"/>
    </row>
    <row r="7" ht="22" customHeight="1">
      <c r="A7" s="5" t="inlineStr">
        <is>
          <t>年终奖（合计）</t>
        </is>
      </c>
      <c r="B7" s="6" t="n">
        <v>46000</v>
      </c>
      <c r="C7" s="7" t="inlineStr"/>
      <c r="D7" s="8" t="n"/>
      <c r="E7" s="6" t="n"/>
      <c r="F7" s="8" t="n"/>
      <c r="G7" s="6" t="n"/>
      <c r="H7" s="8" t="n"/>
      <c r="I7" s="6" t="n"/>
      <c r="J7" s="8" t="n"/>
      <c r="K7" s="6" t="n"/>
      <c r="L7" s="8" t="n"/>
      <c r="M7" s="6" t="n"/>
    </row>
    <row r="8" ht="22" customHeight="1">
      <c r="A8" s="5" t="inlineStr">
        <is>
          <t>当前存款</t>
        </is>
      </c>
      <c r="B8" s="6" t="n">
        <v>380000</v>
      </c>
      <c r="C8" s="7" t="inlineStr">
        <is>
          <t>截至2026年2月</t>
        </is>
      </c>
      <c r="D8" s="8" t="n"/>
      <c r="E8" s="6" t="n"/>
      <c r="F8" s="8" t="n"/>
      <c r="G8" s="6" t="n"/>
      <c r="H8" s="8" t="n"/>
      <c r="I8" s="6" t="n"/>
      <c r="J8" s="8" t="n"/>
      <c r="K8" s="6" t="n"/>
      <c r="L8" s="8" t="n"/>
      <c r="M8" s="6" t="n"/>
    </row>
    <row r="9" ht="22" customHeight="1">
      <c r="A9" s="5" t="inlineStr">
        <is>
          <t>婚前月租金</t>
        </is>
      </c>
      <c r="B9" s="6" t="n">
        <v>2400</v>
      </c>
      <c r="C9" s="7" t="inlineStr">
        <is>
          <t>生育前，含停车费</t>
        </is>
      </c>
      <c r="D9" s="8" t="n"/>
      <c r="E9" s="6" t="n"/>
      <c r="F9" s="8" t="n"/>
      <c r="G9" s="6" t="n"/>
      <c r="H9" s="8" t="n"/>
      <c r="I9" s="6" t="n"/>
      <c r="J9" s="8" t="n"/>
      <c r="K9" s="6" t="n"/>
      <c r="L9" s="8" t="n"/>
      <c r="M9" s="6" t="n"/>
    </row>
    <row r="10" ht="22" customHeight="1">
      <c r="A10" s="5" t="inlineStr">
        <is>
          <t>生育后月租金</t>
        </is>
      </c>
      <c r="B10" s="6" t="n">
        <v>3900</v>
      </c>
      <c r="C10" s="7" t="inlineStr">
        <is>
          <t>孩子出生后搬入更大住所，含停车费</t>
        </is>
      </c>
      <c r="D10" s="8" t="n"/>
      <c r="E10" s="6" t="n"/>
      <c r="F10" s="8" t="n"/>
      <c r="G10" s="6" t="n"/>
      <c r="H10" s="8" t="n"/>
      <c r="I10" s="6" t="n"/>
      <c r="J10" s="8" t="n"/>
      <c r="K10" s="6" t="n"/>
      <c r="L10" s="8" t="n"/>
      <c r="M10" s="6" t="n"/>
    </row>
    <row r="11" ht="22" customHeight="1">
      <c r="A11" s="5" t="inlineStr">
        <is>
          <t>月日常开销</t>
        </is>
      </c>
      <c r="B11" s="6" t="n">
        <v>1500</v>
      </c>
      <c r="C11" s="7" t="inlineStr">
        <is>
          <t>餐饮/交通/娱乐等</t>
        </is>
      </c>
      <c r="D11" s="8" t="n"/>
      <c r="E11" s="6" t="n"/>
      <c r="F11" s="8" t="n"/>
      <c r="G11" s="6" t="n"/>
      <c r="H11" s="8" t="n"/>
      <c r="I11" s="6" t="n"/>
      <c r="J11" s="8" t="n"/>
      <c r="K11" s="6" t="n"/>
      <c r="L11" s="8" t="n"/>
      <c r="M11" s="6" t="n"/>
    </row>
    <row r="12" ht="22" customHeight="1">
      <c r="A12" s="5" t="inlineStr">
        <is>
          <t>孩子月开销</t>
        </is>
      </c>
      <c r="B12" s="6" t="n">
        <v>3000</v>
      </c>
      <c r="C12" s="7" t="inlineStr">
        <is>
          <t>奶粉/纸尿裤/早教等（出生后）</t>
        </is>
      </c>
      <c r="D12" s="8" t="n"/>
      <c r="E12" s="6" t="n"/>
      <c r="F12" s="8" t="n"/>
      <c r="G12" s="6" t="n"/>
      <c r="H12" s="8" t="n"/>
      <c r="I12" s="6" t="n"/>
      <c r="J12" s="8" t="n"/>
      <c r="K12" s="6" t="n"/>
      <c r="L12" s="8" t="n"/>
      <c r="M12" s="6" t="n"/>
    </row>
    <row r="13" ht="22" customHeight="1">
      <c r="A13" s="5" t="inlineStr">
        <is>
          <t>年度旅游支出</t>
        </is>
      </c>
      <c r="B13" s="6" t="n">
        <v>15000</v>
      </c>
      <c r="C13" s="7" t="inlineStr"/>
      <c r="D13" s="8" t="n"/>
      <c r="E13" s="6" t="n"/>
      <c r="F13" s="8" t="n"/>
      <c r="G13" s="6" t="n"/>
      <c r="H13" s="8" t="n"/>
      <c r="I13" s="6" t="n"/>
      <c r="J13" s="8" t="n"/>
      <c r="K13" s="6" t="n"/>
      <c r="L13" s="8" t="n"/>
      <c r="M13" s="6" t="n"/>
    </row>
    <row r="14" ht="22" customHeight="1">
      <c r="A14" s="5" t="inlineStr">
        <is>
          <t>存款年利率</t>
        </is>
      </c>
      <c r="B14" s="9" t="n">
        <v>0.025</v>
      </c>
      <c r="C14" s="7" t="inlineStr">
        <is>
          <t>按年初余额计算，保守型理财参考收益率</t>
        </is>
      </c>
      <c r="D14" s="8" t="n"/>
      <c r="E14" s="9" t="n"/>
      <c r="F14" s="8" t="n"/>
      <c r="G14" s="9" t="n"/>
      <c r="H14" s="8" t="n"/>
      <c r="I14" s="9" t="n"/>
      <c r="J14" s="8" t="n"/>
      <c r="K14" s="9" t="n"/>
      <c r="L14" s="8" t="n"/>
      <c r="M14" s="9" t="n"/>
    </row>
    <row r="16" ht="28" customHeight="1">
      <c r="A16" s="3" t="inlineStr">
        <is>
          <t>🏠 买房假设</t>
        </is>
      </c>
    </row>
    <row r="17" ht="30" customHeight="1">
      <c r="A17" s="4" t="inlineStr">
        <is>
          <t>参数名</t>
        </is>
      </c>
      <c r="B17" s="4" t="inlineStr">
        <is>
          <t>初始值</t>
        </is>
      </c>
      <c r="C17" s="4" t="inlineStr">
        <is>
          <t>备注</t>
        </is>
      </c>
      <c r="D17" s="4" t="inlineStr">
        <is>
          <t>变更1生效
(YYYYMM)</t>
        </is>
      </c>
      <c r="E17" s="4" t="inlineStr">
        <is>
          <t>变更1值</t>
        </is>
      </c>
      <c r="F17" s="4" t="inlineStr">
        <is>
          <t>变更2生效
(YYYYMM)</t>
        </is>
      </c>
      <c r="G17" s="4" t="inlineStr">
        <is>
          <t>变更2值</t>
        </is>
      </c>
      <c r="H17" s="4" t="inlineStr">
        <is>
          <t>变更3生效
(YYYYMM)</t>
        </is>
      </c>
      <c r="I17" s="4" t="inlineStr">
        <is>
          <t>变更3值</t>
        </is>
      </c>
      <c r="J17" s="4" t="inlineStr">
        <is>
          <t>变更4生效
(YYYYMM)</t>
        </is>
      </c>
      <c r="K17" s="4" t="inlineStr">
        <is>
          <t>变更4值</t>
        </is>
      </c>
      <c r="L17" s="4" t="inlineStr">
        <is>
          <t>变更5生效
(YYYYMM)</t>
        </is>
      </c>
      <c r="M17" s="4" t="inlineStr">
        <is>
          <t>变更5值</t>
        </is>
      </c>
    </row>
    <row r="18" ht="22" customHeight="1">
      <c r="A18" s="5" t="inlineStr">
        <is>
          <t>计划买房时间</t>
        </is>
      </c>
      <c r="B18" s="8" t="n">
        <v>202801</v>
      </c>
      <c r="C18" s="7" t="inlineStr">
        <is>
          <t>YYYYMM格式，如202801=2028年1月</t>
        </is>
      </c>
    </row>
    <row r="19" ht="22" customHeight="1">
      <c r="A19" s="5" t="inlineStr">
        <is>
          <t>总房价</t>
        </is>
      </c>
      <c r="B19" s="6" t="n">
        <v>1500000</v>
      </c>
      <c r="C19" s="7" t="inlineStr"/>
    </row>
    <row r="20" ht="22" customHeight="1">
      <c r="A20" s="5" t="inlineStr">
        <is>
          <t>首付比例</t>
        </is>
      </c>
      <c r="B20" s="10" t="n">
        <v>0.3</v>
      </c>
      <c r="C20" s="7" t="inlineStr"/>
    </row>
    <row r="21" ht="22" customHeight="1">
      <c r="A21" s="5" t="inlineStr">
        <is>
          <t>贷款年限</t>
        </is>
      </c>
      <c r="B21" s="8" t="n">
        <v>30</v>
      </c>
      <c r="C21" s="7" t="inlineStr">
        <is>
          <t>年</t>
        </is>
      </c>
    </row>
    <row r="22" ht="22" customHeight="1">
      <c r="A22" s="5" t="inlineStr">
        <is>
          <t>贷款年利率</t>
        </is>
      </c>
      <c r="B22" s="9" t="n">
        <v>0.031</v>
      </c>
      <c r="C22" s="7" t="inlineStr">
        <is>
          <t>商贷参考利率</t>
        </is>
      </c>
    </row>
    <row r="23" ht="22" customHeight="1">
      <c r="A23" s="5" t="inlineStr">
        <is>
          <t>首付金额</t>
        </is>
      </c>
      <c r="B23" s="11">
        <f>B19*B20</f>
        <v/>
      </c>
      <c r="C23" s="7" t="inlineStr">
        <is>
          <t>自动计算</t>
        </is>
      </c>
    </row>
    <row r="24" ht="22" customHeight="1">
      <c r="A24" s="5" t="inlineStr">
        <is>
          <t>贷款总额</t>
        </is>
      </c>
      <c r="B24" s="11">
        <f>B19-B23</f>
        <v/>
      </c>
      <c r="C24" s="7" t="inlineStr">
        <is>
          <t>自动计算</t>
        </is>
      </c>
    </row>
    <row r="25" ht="22" customHeight="1">
      <c r="A25" s="5" t="inlineStr">
        <is>
          <t>月供金额</t>
        </is>
      </c>
      <c r="B25" s="11">
        <f>-PMT(B22/12,B21*12,B24)</f>
        <v/>
      </c>
      <c r="C25" s="7" t="inlineStr">
        <is>
          <t>等额本息，自动计算</t>
        </is>
      </c>
    </row>
    <row r="27" ht="28" customHeight="1">
      <c r="A27" s="3" t="inlineStr">
        <is>
          <t>📊 五年收支总览（2026—2030）</t>
        </is>
      </c>
    </row>
    <row r="28" ht="24" customHeight="1">
      <c r="A28" s="12" t="inlineStr"/>
      <c r="B28" s="12" t="inlineStr">
        <is>
          <t>📋 不买房方案</t>
        </is>
      </c>
      <c r="H28" s="12" t="inlineStr">
        <is>
          <t>🏠 买房方案</t>
        </is>
      </c>
    </row>
    <row r="29" ht="24" customHeight="1">
      <c r="A29" s="13" t="inlineStr">
        <is>
          <t>项目</t>
        </is>
      </c>
      <c r="B29" s="13" t="inlineStr">
        <is>
          <t>2026年</t>
        </is>
      </c>
      <c r="C29" s="13" t="inlineStr">
        <is>
          <t>2027年</t>
        </is>
      </c>
      <c r="D29" s="13" t="inlineStr">
        <is>
          <t>2028年</t>
        </is>
      </c>
      <c r="E29" s="13" t="inlineStr">
        <is>
          <t>2029年</t>
        </is>
      </c>
      <c r="F29" s="13" t="inlineStr">
        <is>
          <t>2030年</t>
        </is>
      </c>
      <c r="H29" s="13" t="inlineStr">
        <is>
          <t>2026年</t>
        </is>
      </c>
      <c r="I29" s="13" t="inlineStr">
        <is>
          <t>2027年</t>
        </is>
      </c>
      <c r="J29" s="13" t="inlineStr">
        <is>
          <t>2028年</t>
        </is>
      </c>
      <c r="K29" s="13" t="inlineStr">
        <is>
          <t>2029年</t>
        </is>
      </c>
      <c r="L29" s="13" t="inlineStr">
        <is>
          <t>2030年</t>
        </is>
      </c>
    </row>
    <row r="30" ht="22" customHeight="1">
      <c r="A30" s="14" t="inlineStr">
        <is>
          <t>年初余额</t>
        </is>
      </c>
      <c r="B30" s="15">
        <f>$B$8</f>
        <v/>
      </c>
      <c r="C30" s="16">
        <f>B50</f>
        <v/>
      </c>
      <c r="D30" s="16">
        <f>C50</f>
        <v/>
      </c>
      <c r="E30" s="16">
        <f>D50</f>
        <v/>
      </c>
      <c r="F30" s="16">
        <f>E50</f>
        <v/>
      </c>
      <c r="H30" s="15">
        <f>$B$8</f>
        <v/>
      </c>
      <c r="I30" s="16">
        <f>H50</f>
        <v/>
      </c>
      <c r="J30" s="16">
        <f>I50</f>
        <v/>
      </c>
      <c r="K30" s="16">
        <f>J50</f>
        <v/>
      </c>
      <c r="L30" s="16">
        <f>K50</f>
        <v/>
      </c>
    </row>
    <row r="31" ht="22" customHeight="1">
      <c r="A31" s="17" t="inlineStr">
        <is>
          <t>【收入】</t>
        </is>
      </c>
      <c r="B31" s="18" t="n"/>
      <c r="C31" s="18" t="n"/>
      <c r="D31" s="18" t="n"/>
      <c r="E31" s="18" t="n"/>
      <c r="F31" s="18" t="n"/>
      <c r="H31" s="18" t="n"/>
      <c r="I31" s="18" t="n"/>
      <c r="J31" s="18" t="n"/>
      <c r="K31" s="18" t="n"/>
      <c r="L31" s="18" t="n"/>
    </row>
    <row r="32" ht="22" customHeight="1">
      <c r="A32" s="19" t="inlineStr">
        <is>
          <t xml:space="preserve">  工资收入</t>
        </is>
      </c>
      <c r="B32" s="20">
        <f>SUMIF(月度现金流!B:B,2026,月度现金流!D:D)</f>
        <v/>
      </c>
      <c r="C32" s="20">
        <f>SUMIF(月度现金流!B:B,2027,月度现金流!D:D)</f>
        <v/>
      </c>
      <c r="D32" s="20">
        <f>SUMIF(月度现金流!B:B,2028,月度现金流!D:D)</f>
        <v/>
      </c>
      <c r="E32" s="20">
        <f>SUMIF(月度现金流!B:B,2029,月度现金流!D:D)</f>
        <v/>
      </c>
      <c r="F32" s="20">
        <f>SUMIF(月度现金流!B:B,2030,月度现金流!D:D)</f>
        <v/>
      </c>
      <c r="H32" s="20">
        <f>SUMIF('月度现金流（买房）'!B:B,2026,'月度现金流（买房）'!D:D)</f>
        <v/>
      </c>
      <c r="I32" s="20">
        <f>SUMIF('月度现金流（买房）'!B:B,2027,'月度现金流（买房）'!D:D)</f>
        <v/>
      </c>
      <c r="J32" s="20">
        <f>SUMIF('月度现金流（买房）'!B:B,2028,'月度现金流（买房）'!D:D)</f>
        <v/>
      </c>
      <c r="K32" s="20">
        <f>SUMIF('月度现金流（买房）'!B:B,2029,'月度现金流（买房）'!D:D)</f>
        <v/>
      </c>
      <c r="L32" s="20">
        <f>SUMIF('月度现金流（买房）'!B:B,2030,'月度现金流（买房）'!D:D)</f>
        <v/>
      </c>
    </row>
    <row r="33" ht="22" customHeight="1">
      <c r="A33" s="19" t="inlineStr">
        <is>
          <t xml:space="preserve">  年终奖</t>
        </is>
      </c>
      <c r="B33" s="20">
        <f>SUMIF(月度现金流!B:B,2026,月度现金流!E:E)</f>
        <v/>
      </c>
      <c r="C33" s="20">
        <f>SUMIF(月度现金流!B:B,2027,月度现金流!E:E)</f>
        <v/>
      </c>
      <c r="D33" s="20">
        <f>SUMIF(月度现金流!B:B,2028,月度现金流!E:E)</f>
        <v/>
      </c>
      <c r="E33" s="20">
        <f>SUMIF(月度现金流!B:B,2029,月度现金流!E:E)</f>
        <v/>
      </c>
      <c r="F33" s="20">
        <f>SUMIF(月度现金流!B:B,2030,月度现金流!E:E)</f>
        <v/>
      </c>
      <c r="H33" s="20">
        <f>SUMIF('月度现金流（买房）'!B:B,2026,'月度现金流（买房）'!E:E)</f>
        <v/>
      </c>
      <c r="I33" s="20">
        <f>SUMIF('月度现金流（买房）'!B:B,2027,'月度现金流（买房）'!E:E)</f>
        <v/>
      </c>
      <c r="J33" s="20">
        <f>SUMIF('月度现金流（买房）'!B:B,2028,'月度现金流（买房）'!E:E)</f>
        <v/>
      </c>
      <c r="K33" s="20">
        <f>SUMIF('月度现金流（买房）'!B:B,2029,'月度现金流（买房）'!E:E)</f>
        <v/>
      </c>
      <c r="L33" s="20">
        <f>SUMIF('月度现金流（买房）'!B:B,2030,'月度现金流（买房）'!E:E)</f>
        <v/>
      </c>
    </row>
    <row r="34" ht="22" customHeight="1">
      <c r="A34" s="19" t="inlineStr">
        <is>
          <t xml:space="preserve">  理财收益</t>
        </is>
      </c>
      <c r="B34" s="20">
        <f>SUMIF(月度现金流!B:B,2026,月度现金流!F:F)</f>
        <v/>
      </c>
      <c r="C34" s="20">
        <f>SUMIF(月度现金流!B:B,2027,月度现金流!F:F)</f>
        <v/>
      </c>
      <c r="D34" s="20">
        <f>SUMIF(月度现金流!B:B,2028,月度现金流!F:F)</f>
        <v/>
      </c>
      <c r="E34" s="20">
        <f>SUMIF(月度现金流!B:B,2029,月度现金流!F:F)</f>
        <v/>
      </c>
      <c r="F34" s="20">
        <f>SUMIF(月度现金流!B:B,2030,月度现金流!F:F)</f>
        <v/>
      </c>
      <c r="H34" s="20">
        <f>SUMIF('月度现金流（买房）'!B:B,2026,'月度现金流（买房）'!F:F)</f>
        <v/>
      </c>
      <c r="I34" s="20">
        <f>SUMIF('月度现金流（买房）'!B:B,2027,'月度现金流（买房）'!F:F)</f>
        <v/>
      </c>
      <c r="J34" s="20">
        <f>SUMIF('月度现金流（买房）'!B:B,2028,'月度现金流（买房）'!F:F)</f>
        <v/>
      </c>
      <c r="K34" s="20">
        <f>SUMIF('月度现金流（买房）'!B:B,2029,'月度现金流（买房）'!F:F)</f>
        <v/>
      </c>
      <c r="L34" s="20">
        <f>SUMIF('月度现金流（买房）'!B:B,2030,'月度现金流（买房）'!F:F)</f>
        <v/>
      </c>
    </row>
    <row r="35" ht="22" customHeight="1">
      <c r="A35" s="21" t="inlineStr">
        <is>
          <t>收入小计</t>
        </is>
      </c>
      <c r="B35" s="22">
        <f>SUM(B32:B34)</f>
        <v/>
      </c>
      <c r="C35" s="22">
        <f>SUM(C32:C34)</f>
        <v/>
      </c>
      <c r="D35" s="22">
        <f>SUM(D32:D34)</f>
        <v/>
      </c>
      <c r="E35" s="22">
        <f>SUM(E32:E34)</f>
        <v/>
      </c>
      <c r="F35" s="22">
        <f>SUM(F32:F34)</f>
        <v/>
      </c>
      <c r="H35" s="22">
        <f>SUM(H32:H34)</f>
        <v/>
      </c>
      <c r="I35" s="22">
        <f>SUM(I32:I34)</f>
        <v/>
      </c>
      <c r="J35" s="22">
        <f>SUM(J32:J34)</f>
        <v/>
      </c>
      <c r="K35" s="22">
        <f>SUM(K32:K34)</f>
        <v/>
      </c>
      <c r="L35" s="22">
        <f>SUM(L32:L34)</f>
        <v/>
      </c>
    </row>
    <row r="36" ht="22" customHeight="1">
      <c r="A36" s="17" t="inlineStr">
        <is>
          <t>【支出】</t>
        </is>
      </c>
      <c r="B36" s="18" t="n"/>
      <c r="C36" s="18" t="n"/>
      <c r="D36" s="18" t="n"/>
      <c r="E36" s="18" t="n"/>
      <c r="F36" s="18" t="n"/>
      <c r="H36" s="18" t="n"/>
      <c r="I36" s="18" t="n"/>
      <c r="J36" s="18" t="n"/>
      <c r="K36" s="18" t="n"/>
      <c r="L36" s="18" t="n"/>
    </row>
    <row r="37" ht="22" customHeight="1">
      <c r="A37" s="19" t="inlineStr">
        <is>
          <t xml:space="preserve">  房租</t>
        </is>
      </c>
      <c r="B37" s="20">
        <f>SUMIF(月度现金流!B:B,2026,月度现金流!H:H)</f>
        <v/>
      </c>
      <c r="C37" s="20">
        <f>SUMIF(月度现金流!B:B,2027,月度现金流!H:H)</f>
        <v/>
      </c>
      <c r="D37" s="20">
        <f>SUMIF(月度现金流!B:B,2028,月度现金流!H:H)</f>
        <v/>
      </c>
      <c r="E37" s="20">
        <f>SUMIF(月度现金流!B:B,2029,月度现金流!H:H)</f>
        <v/>
      </c>
      <c r="F37" s="20">
        <f>SUMIF(月度现金流!B:B,2030,月度现金流!H:H)</f>
        <v/>
      </c>
      <c r="H37" s="20">
        <f>SUMIF('月度现金流（买房）'!B:B,2026,'月度现金流（买房）'!H:H)</f>
        <v/>
      </c>
      <c r="I37" s="20">
        <f>SUMIF('月度现金流（买房）'!B:B,2027,'月度现金流（买房）'!H:H)</f>
        <v/>
      </c>
      <c r="J37" s="20">
        <f>SUMIF('月度现金流（买房）'!B:B,2028,'月度现金流（买房）'!H:H)</f>
        <v/>
      </c>
      <c r="K37" s="20">
        <f>SUMIF('月度现金流（买房）'!B:B,2029,'月度现金流（买房）'!H:H)</f>
        <v/>
      </c>
      <c r="L37" s="20">
        <f>SUMIF('月度现金流（买房）'!B:B,2030,'月度现金流（买房）'!H:H)</f>
        <v/>
      </c>
    </row>
    <row r="38" ht="22" customHeight="1">
      <c r="A38" s="19" t="inlineStr">
        <is>
          <t xml:space="preserve">  日常开销</t>
        </is>
      </c>
      <c r="B38" s="20">
        <f>SUMIF(月度现金流!B:B,2026,月度现金流!I:I)</f>
        <v/>
      </c>
      <c r="C38" s="20">
        <f>SUMIF(月度现金流!B:B,2027,月度现金流!I:I)</f>
        <v/>
      </c>
      <c r="D38" s="20">
        <f>SUMIF(月度现金流!B:B,2028,月度现金流!I:I)</f>
        <v/>
      </c>
      <c r="E38" s="20">
        <f>SUMIF(月度现金流!B:B,2029,月度现金流!I:I)</f>
        <v/>
      </c>
      <c r="F38" s="20">
        <f>SUMIF(月度现金流!B:B,2030,月度现金流!I:I)</f>
        <v/>
      </c>
      <c r="H38" s="20">
        <f>SUMIF('月度现金流（买房）'!B:B,2026,'月度现金流（买房）'!I:I)</f>
        <v/>
      </c>
      <c r="I38" s="20">
        <f>SUMIF('月度现金流（买房）'!B:B,2027,'月度现金流（买房）'!I:I)</f>
        <v/>
      </c>
      <c r="J38" s="20">
        <f>SUMIF('月度现金流（买房）'!B:B,2028,'月度现金流（买房）'!I:I)</f>
        <v/>
      </c>
      <c r="K38" s="20">
        <f>SUMIF('月度现金流（买房）'!B:B,2029,'月度现金流（买房）'!I:I)</f>
        <v/>
      </c>
      <c r="L38" s="20">
        <f>SUMIF('月度现金流（买房）'!B:B,2030,'月度现金流（买房）'!I:I)</f>
        <v/>
      </c>
    </row>
    <row r="39" ht="22" customHeight="1">
      <c r="A39" s="19" t="inlineStr">
        <is>
          <t xml:space="preserve">  育儿开销</t>
        </is>
      </c>
      <c r="B39" s="20">
        <f>SUMIF(月度现金流!B:B,2026,月度现金流!J:J)</f>
        <v/>
      </c>
      <c r="C39" s="20">
        <f>SUMIF(月度现金流!B:B,2027,月度现金流!J:J)</f>
        <v/>
      </c>
      <c r="D39" s="20">
        <f>SUMIF(月度现金流!B:B,2028,月度现金流!J:J)</f>
        <v/>
      </c>
      <c r="E39" s="20">
        <f>SUMIF(月度现金流!B:B,2029,月度现金流!J:J)</f>
        <v/>
      </c>
      <c r="F39" s="20">
        <f>SUMIF(月度现金流!B:B,2030,月度现金流!J:J)</f>
        <v/>
      </c>
      <c r="H39" s="20">
        <f>SUMIF('月度现金流（买房）'!B:B,2026,'月度现金流（买房）'!J:J)</f>
        <v/>
      </c>
      <c r="I39" s="20">
        <f>SUMIF('月度现金流（买房）'!B:B,2027,'月度现金流（买房）'!J:J)</f>
        <v/>
      </c>
      <c r="J39" s="20">
        <f>SUMIF('月度现金流（买房）'!B:B,2028,'月度现金流（买房）'!J:J)</f>
        <v/>
      </c>
      <c r="K39" s="20">
        <f>SUMIF('月度现金流（买房）'!B:B,2029,'月度现金流（买房）'!J:J)</f>
        <v/>
      </c>
      <c r="L39" s="20">
        <f>SUMIF('月度现金流（买房）'!B:B,2030,'月度现金流（买房）'!J:J)</f>
        <v/>
      </c>
    </row>
    <row r="40" ht="22" customHeight="1">
      <c r="A40" s="19" t="inlineStr">
        <is>
          <t xml:space="preserve">  旅游支出</t>
        </is>
      </c>
      <c r="B40" s="20">
        <f>SUMIFS(月度现金流!K:K,月度现金流!B:B,2026,月度现金流!L:L,"年度旅游")</f>
        <v/>
      </c>
      <c r="C40" s="20">
        <f>SUMIFS(月度现金流!K:K,月度现金流!B:B,2027,月度现金流!L:L,"年度旅游")</f>
        <v/>
      </c>
      <c r="D40" s="20">
        <f>SUMIFS(月度现金流!K:K,月度现金流!B:B,2028,月度现金流!L:L,"年度旅游")</f>
        <v/>
      </c>
      <c r="E40" s="20">
        <f>SUMIFS(月度现金流!K:K,月度现金流!B:B,2029,月度现金流!L:L,"年度旅游")</f>
        <v/>
      </c>
      <c r="F40" s="20">
        <f>SUMIFS(月度现金流!K:K,月度现金流!B:B,2030,月度现金流!L:L,"年度旅游")</f>
        <v/>
      </c>
      <c r="H40" s="20">
        <f>SUMIFS('月度现金流（买房）'!K:K,'月度现金流（买房）'!B:B,2026,'月度现金流（买房）'!L:L,"年度旅游")</f>
        <v/>
      </c>
      <c r="I40" s="20">
        <f>SUMIFS('月度现金流（买房）'!K:K,'月度现金流（买房）'!B:B,2027,'月度现金流（买房）'!L:L,"年度旅游")</f>
        <v/>
      </c>
      <c r="J40" s="20">
        <f>SUMIFS('月度现金流（买房）'!K:K,'月度现金流（买房）'!B:B,2028,'月度现金流（买房）'!L:L,"年度旅游")</f>
        <v/>
      </c>
      <c r="K40" s="20">
        <f>SUMIFS('月度现金流（买房）'!K:K,'月度现金流（买房）'!B:B,2029,'月度现金流（买房）'!L:L,"年度旅游")</f>
        <v/>
      </c>
      <c r="L40" s="20">
        <f>SUMIFS('月度现金流（买房）'!K:K,'月度现金流（买房）'!B:B,2030,'月度现金流（买房）'!L:L,"年度旅游")</f>
        <v/>
      </c>
    </row>
    <row r="41" ht="22" customHeight="1">
      <c r="A41" s="19" t="inlineStr">
        <is>
          <t xml:space="preserve">  首付支出</t>
        </is>
      </c>
      <c r="B41" s="18" t="n"/>
      <c r="C41" s="18" t="n"/>
      <c r="D41" s="18" t="n"/>
      <c r="E41" s="18" t="n"/>
      <c r="F41" s="18" t="n"/>
      <c r="H41" s="20">
        <f>SUMIF('月度现金流（买房）'!B:B,2026,'月度现金流（买房）'!M:M)</f>
        <v/>
      </c>
      <c r="I41" s="20">
        <f>SUMIF('月度现金流（买房）'!B:B,2027,'月度现金流（买房）'!M:M)</f>
        <v/>
      </c>
      <c r="J41" s="20">
        <f>SUMIF('月度现金流（买房）'!B:B,2028,'月度现金流（买房）'!M:M)</f>
        <v/>
      </c>
      <c r="K41" s="20">
        <f>SUMIF('月度现金流（买房）'!B:B,2029,'月度现金流（买房）'!M:M)</f>
        <v/>
      </c>
      <c r="L41" s="20">
        <f>SUMIF('月度现金流（买房）'!B:B,2030,'月度现金流（买房）'!M:M)</f>
        <v/>
      </c>
    </row>
    <row r="42" ht="22" customHeight="1">
      <c r="A42" s="19" t="inlineStr">
        <is>
          <t xml:space="preserve">  房贷月供</t>
        </is>
      </c>
      <c r="B42" s="18" t="n"/>
      <c r="C42" s="18" t="n"/>
      <c r="D42" s="18" t="n"/>
      <c r="E42" s="18" t="n"/>
      <c r="F42" s="18" t="n"/>
      <c r="H42" s="20">
        <f>SUMIF('月度现金流（买房）'!B:B,2026,'月度现金流（买房）'!N:N)</f>
        <v/>
      </c>
      <c r="I42" s="20">
        <f>SUMIF('月度现金流（买房）'!B:B,2027,'月度现金流（买房）'!N:N)</f>
        <v/>
      </c>
      <c r="J42" s="20">
        <f>SUMIF('月度现金流（买房）'!B:B,2028,'月度现金流（买房）'!N:N)</f>
        <v/>
      </c>
      <c r="K42" s="20">
        <f>SUMIF('月度现金流（买房）'!B:B,2029,'月度现金流（买房）'!N:N)</f>
        <v/>
      </c>
      <c r="L42" s="20">
        <f>SUMIF('月度现金流（买房）'!B:B,2030,'月度现金流（买房）'!N:N)</f>
        <v/>
      </c>
    </row>
    <row r="43" ht="22" customHeight="1">
      <c r="A43" s="23" t="inlineStr">
        <is>
          <t xml:space="preserve">  【特殊支出】</t>
        </is>
      </c>
      <c r="B43" s="18" t="n"/>
      <c r="C43" s="18" t="n"/>
      <c r="D43" s="18" t="n"/>
      <c r="E43" s="18" t="n"/>
      <c r="F43" s="18" t="n"/>
      <c r="H43" s="18" t="n"/>
      <c r="I43" s="18" t="n"/>
      <c r="J43" s="18" t="n"/>
      <c r="K43" s="18" t="n"/>
      <c r="L43" s="18" t="n"/>
    </row>
    <row r="44" ht="22" customHeight="1">
      <c r="A44" s="19" t="inlineStr">
        <is>
          <t xml:space="preserve">    结婚</t>
        </is>
      </c>
      <c r="B44" s="20">
        <f>SUMIFS(月度现金流!K:K,月度现金流!B:B,2026,月度现金流!L:L,"结婚支出")</f>
        <v/>
      </c>
      <c r="C44" s="20">
        <f>SUMIFS(月度现金流!K:K,月度现金流!B:B,2027,月度现金流!L:L,"结婚支出")</f>
        <v/>
      </c>
      <c r="D44" s="20">
        <f>SUMIFS(月度现金流!K:K,月度现金流!B:B,2028,月度现金流!L:L,"结婚支出")</f>
        <v/>
      </c>
      <c r="E44" s="20">
        <f>SUMIFS(月度现金流!K:K,月度现金流!B:B,2029,月度现金流!L:L,"结婚支出")</f>
        <v/>
      </c>
      <c r="F44" s="20">
        <f>SUMIFS(月度现金流!K:K,月度现金流!B:B,2030,月度现金流!L:L,"结婚支出")</f>
        <v/>
      </c>
      <c r="H44" s="20">
        <f>SUMIFS('月度现金流（买房）'!K:K,'月度现金流（买房）'!B:B,2026,'月度现金流（买房）'!L:L,"结婚支出")</f>
        <v/>
      </c>
      <c r="I44" s="20">
        <f>SUMIFS('月度现金流（买房）'!K:K,'月度现金流（买房）'!B:B,2027,'月度现金流（买房）'!L:L,"结婚支出")</f>
        <v/>
      </c>
      <c r="J44" s="20">
        <f>SUMIFS('月度现金流（买房）'!K:K,'月度现金流（买房）'!B:B,2028,'月度现金流（买房）'!L:L,"结婚支出")</f>
        <v/>
      </c>
      <c r="K44" s="20">
        <f>SUMIFS('月度现金流（买房）'!K:K,'月度现金流（买房）'!B:B,2029,'月度现金流（买房）'!L:L,"结婚支出")</f>
        <v/>
      </c>
      <c r="L44" s="20">
        <f>SUMIFS('月度现金流（买房）'!K:K,'月度现金流（买房）'!B:B,2030,'月度现金流（买房）'!L:L,"结婚支出")</f>
        <v/>
      </c>
    </row>
    <row r="45" ht="22" customHeight="1">
      <c r="A45" s="19" t="inlineStr">
        <is>
          <t xml:space="preserve">    产检及分娩</t>
        </is>
      </c>
      <c r="B45" s="20">
        <f>SUMIFS(月度现金流!K:K,月度现金流!B:B,2026,月度现金流!L:L,"孕产费用")</f>
        <v/>
      </c>
      <c r="C45" s="20">
        <f>SUMIFS(月度现金流!K:K,月度现金流!B:B,2027,月度现金流!L:L,"孕产费用")</f>
        <v/>
      </c>
      <c r="D45" s="20">
        <f>SUMIFS(月度现金流!K:K,月度现金流!B:B,2028,月度现金流!L:L,"孕产费用")</f>
        <v/>
      </c>
      <c r="E45" s="20">
        <f>SUMIFS(月度现金流!K:K,月度现金流!B:B,2029,月度现金流!L:L,"孕产费用")</f>
        <v/>
      </c>
      <c r="F45" s="20">
        <f>SUMIFS(月度现金流!K:K,月度现金流!B:B,2030,月度现金流!L:L,"孕产费用")</f>
        <v/>
      </c>
      <c r="H45" s="20">
        <f>SUMIFS('月度现金流（买房）'!K:K,'月度现金流（买房）'!B:B,2026,'月度现金流（买房）'!L:L,"孕产费用")</f>
        <v/>
      </c>
      <c r="I45" s="20">
        <f>SUMIFS('月度现金流（买房）'!K:K,'月度现金流（买房）'!B:B,2027,'月度现金流（买房）'!L:L,"孕产费用")</f>
        <v/>
      </c>
      <c r="J45" s="20">
        <f>SUMIFS('月度现金流（买房）'!K:K,'月度现金流（买房）'!B:B,2028,'月度现金流（买房）'!L:L,"孕产费用")</f>
        <v/>
      </c>
      <c r="K45" s="20">
        <f>SUMIFS('月度现金流（买房）'!K:K,'月度现金流（买房）'!B:B,2029,'月度现金流（买房）'!L:L,"孕产费用")</f>
        <v/>
      </c>
      <c r="L45" s="20">
        <f>SUMIFS('月度现金流（买房）'!K:K,'月度现金流（买房）'!B:B,2030,'月度现金流（买房）'!L:L,"孕产费用")</f>
        <v/>
      </c>
    </row>
    <row r="46" ht="28" customHeight="1">
      <c r="A46" s="24" t="inlineStr">
        <is>
          <t>* 特殊支出数据来源：月度现金流汇总；结婚（2026年5月）及孕产费用（2027年9月）均为一次性支出</t>
        </is>
      </c>
      <c r="B46" s="18" t="n"/>
      <c r="C46" s="18" t="n"/>
      <c r="D46" s="18" t="n"/>
      <c r="E46" s="18" t="n"/>
      <c r="F46" s="18" t="n"/>
      <c r="H46" s="18" t="n"/>
      <c r="I46" s="18" t="n"/>
      <c r="J46" s="18" t="n"/>
      <c r="K46" s="18" t="n"/>
      <c r="L46" s="18" t="n"/>
    </row>
    <row r="47" ht="22" customHeight="1">
      <c r="A47" s="25" t="inlineStr">
        <is>
          <t>支出小计</t>
        </is>
      </c>
      <c r="B47" s="26">
        <f>SUM(B37:B40)+SUM(B44:B45)</f>
        <v/>
      </c>
      <c r="C47" s="26">
        <f>SUM(C37:C40)+SUM(C44:C45)</f>
        <v/>
      </c>
      <c r="D47" s="26">
        <f>SUM(D37:D40)+SUM(D44:D45)</f>
        <v/>
      </c>
      <c r="E47" s="26">
        <f>SUM(E37:E40)+SUM(E44:E45)</f>
        <v/>
      </c>
      <c r="F47" s="26">
        <f>SUM(F37:F40)+SUM(F44:F45)</f>
        <v/>
      </c>
      <c r="H47" s="26">
        <f>SUM(H37:H40)+H41+H42+SUM(H44:H45)</f>
        <v/>
      </c>
      <c r="I47" s="26">
        <f>SUM(I37:I40)+I41+I42+SUM(I44:I45)</f>
        <v/>
      </c>
      <c r="J47" s="26">
        <f>SUM(J37:J40)+J41+J42+SUM(J44:J45)</f>
        <v/>
      </c>
      <c r="K47" s="26">
        <f>SUM(K37:K40)+K41+K42+SUM(K44:K45)</f>
        <v/>
      </c>
      <c r="L47" s="26">
        <f>SUM(L37:L40)+L41+L42+SUM(L44:L45)</f>
        <v/>
      </c>
    </row>
    <row r="48" ht="22" customHeight="1">
      <c r="A48" s="19" t="inlineStr"/>
      <c r="B48" s="18" t="n"/>
      <c r="C48" s="18" t="n"/>
      <c r="D48" s="18" t="n"/>
      <c r="E48" s="18" t="n"/>
      <c r="F48" s="18" t="n"/>
      <c r="H48" s="18" t="n"/>
      <c r="I48" s="18" t="n"/>
      <c r="J48" s="18" t="n"/>
      <c r="K48" s="18" t="n"/>
      <c r="L48" s="18" t="n"/>
    </row>
    <row r="49" ht="22" customHeight="1">
      <c r="A49" s="27" t="inlineStr">
        <is>
          <t>年度结余（收入−支出）</t>
        </is>
      </c>
      <c r="B49" s="28">
        <f>B35-B47</f>
        <v/>
      </c>
      <c r="C49" s="28">
        <f>C35-C47</f>
        <v/>
      </c>
      <c r="D49" s="28">
        <f>D35-D47</f>
        <v/>
      </c>
      <c r="E49" s="28">
        <f>E35-E47</f>
        <v/>
      </c>
      <c r="F49" s="28">
        <f>F35-F47</f>
        <v/>
      </c>
      <c r="H49" s="28">
        <f>H35-H47</f>
        <v/>
      </c>
      <c r="I49" s="28">
        <f>I35-I47</f>
        <v/>
      </c>
      <c r="J49" s="28">
        <f>J35-J47</f>
        <v/>
      </c>
      <c r="K49" s="28">
        <f>K35-K47</f>
        <v/>
      </c>
      <c r="L49" s="28">
        <f>L35-L47</f>
        <v/>
      </c>
    </row>
    <row r="50" ht="22" customHeight="1">
      <c r="A50" s="21" t="inlineStr">
        <is>
          <t>年末累计余额</t>
        </is>
      </c>
      <c r="B50" s="22">
        <f>B30+B49</f>
        <v/>
      </c>
      <c r="C50" s="22">
        <f>C30+C49</f>
        <v/>
      </c>
      <c r="D50" s="22">
        <f>D30+D49</f>
        <v/>
      </c>
      <c r="E50" s="22">
        <f>E30+E49</f>
        <v/>
      </c>
      <c r="F50" s="22">
        <f>F30+F49</f>
        <v/>
      </c>
      <c r="H50" s="22">
        <f>H30+H49</f>
        <v/>
      </c>
      <c r="I50" s="22">
        <f>I30+I49</f>
        <v/>
      </c>
      <c r="J50" s="22">
        <f>J30+J49</f>
        <v/>
      </c>
      <c r="K50" s="22">
        <f>K30+K49</f>
        <v/>
      </c>
      <c r="L50" s="22">
        <f>L30+L49</f>
        <v/>
      </c>
    </row>
  </sheetData>
  <mergeCells count="10">
    <mergeCell ref="A2:L2"/>
    <mergeCell ref="B28:F28"/>
    <mergeCell ref="A1:L1"/>
    <mergeCell ref="A46:L46"/>
    <mergeCell ref="A4:M4"/>
    <mergeCell ref="A31:L31"/>
    <mergeCell ref="A36:L36"/>
    <mergeCell ref="H28:L28"/>
    <mergeCell ref="A27:L27"/>
    <mergeCell ref="A16:M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5" customWidth="1" min="14" max="14"/>
    <col width="15" customWidth="1" min="15" max="15"/>
  </cols>
  <sheetData>
    <row r="1" ht="42" customHeight="1">
      <c r="A1" s="29" t="inlineStr">
        <is>
          <t>序号</t>
        </is>
      </c>
      <c r="B1" s="29" t="inlineStr">
        <is>
          <t>年份</t>
        </is>
      </c>
      <c r="C1" s="29" t="inlineStr">
        <is>
          <t>月份</t>
        </is>
      </c>
      <c r="D1" s="29" t="inlineStr">
        <is>
          <t>月收入(元)</t>
        </is>
      </c>
      <c r="E1" s="29" t="inlineStr">
        <is>
          <t>年终奖(元)</t>
        </is>
      </c>
      <c r="F1" s="29" t="inlineStr">
        <is>
          <t>理财收益(元)</t>
        </is>
      </c>
      <c r="G1" s="29" t="inlineStr">
        <is>
          <t>总收入(元)</t>
        </is>
      </c>
      <c r="H1" s="29" t="inlineStr">
        <is>
          <t>房租(元)</t>
        </is>
      </c>
      <c r="I1" s="29" t="inlineStr">
        <is>
          <t>日常开销(元)</t>
        </is>
      </c>
      <c r="J1" s="29" t="inlineStr">
        <is>
          <t>孩子开销(元)</t>
        </is>
      </c>
      <c r="K1" s="29" t="inlineStr">
        <is>
          <t>特殊支出(元)</t>
        </is>
      </c>
      <c r="L1" s="29" t="inlineStr">
        <is>
          <t>特殊说明</t>
        </is>
      </c>
      <c r="M1" s="29" t="inlineStr">
        <is>
          <t>总支出(元)</t>
        </is>
      </c>
      <c r="N1" s="29" t="inlineStr">
        <is>
          <t>当月净储蓄(元)</t>
        </is>
      </c>
      <c r="O1" s="29" t="inlineStr">
        <is>
          <t>累计储蓄(元)</t>
        </is>
      </c>
    </row>
    <row r="2">
      <c r="A2" s="30" t="n">
        <v>1</v>
      </c>
      <c r="B2" s="30" t="n">
        <v>2026</v>
      </c>
      <c r="C2" s="30" t="inlineStr">
        <is>
          <t>2月</t>
        </is>
      </c>
      <c r="D2" s="11">
        <f>IF(AND(总览!$L$6&lt;&gt;"",B2*100+VALUE(LEFT(C2,LEN(C2)-1))&gt;=总览!$L$6),总览!$M$6,IF(AND(总览!$J$6&lt;&gt;"",B2*100+VALUE(LEFT(C2,LEN(C2)-1))&gt;=总览!$J$6),总览!$K$6,IF(AND(总览!$H$6&lt;&gt;"",B2*100+VALUE(LEFT(C2,LEN(C2)-1))&gt;=总览!$H$6),总览!$I$6,IF(AND(总览!$F$6&lt;&gt;"",B2*100+VALUE(LEFT(C2,LEN(C2)-1))&gt;=总览!$F$6),总览!$G$6,IF(AND(总览!$D$6&lt;&gt;"",B2*100+VALUE(LEFT(C2,LEN(C2)-1))&gt;=总览!$D$6),总览!$E$6,总览!$B$6)))))</f>
        <v/>
      </c>
      <c r="E2" s="11">
        <f>IF(C2="12月",IF(AND(总览!$L$7&lt;&gt;"",B2*100+VALUE(LEFT(C2,LEN(C2)-1))&gt;=总览!$L$7),总览!$M$7,IF(AND(总览!$J$7&lt;&gt;"",B2*100+VALUE(LEFT(C2,LEN(C2)-1))&gt;=总览!$J$7),总览!$K$7,IF(AND(总览!$H$7&lt;&gt;"",B2*100+VALUE(LEFT(C2,LEN(C2)-1))&gt;=总览!$H$7),总览!$I$7,IF(AND(总览!$F$7&lt;&gt;"",B2*100+VALUE(LEFT(C2,LEN(C2)-1))&gt;=总览!$F$7),总览!$G$7,IF(AND(总览!$D$7&lt;&gt;"",B2*100+VALUE(LEFT(C2,LEN(C2)-1))&gt;=总览!$D$7),总览!$E$7,总览!$B$7))))),0)</f>
        <v/>
      </c>
      <c r="F2" s="11">
        <f>ROUND(总览!$B$8*总览!$B$14/12,0)</f>
        <v/>
      </c>
      <c r="G2" s="11">
        <f>D2+E2+F2</f>
        <v/>
      </c>
      <c r="H2" s="11">
        <f>IF(OR(B2&gt;2027,AND(B2=2027,VALUE(LEFT(C2,LEN(C2)-1))&gt;=9)),IF(AND(总览!$L$10&lt;&gt;"",B2*100+VALUE(LEFT(C2,LEN(C2)-1))&gt;=总览!$L$10),总览!$M$10,IF(AND(总览!$J$10&lt;&gt;"",B2*100+VALUE(LEFT(C2,LEN(C2)-1))&gt;=总览!$J$10),总览!$K$10,IF(AND(总览!$H$10&lt;&gt;"",B2*100+VALUE(LEFT(C2,LEN(C2)-1))&gt;=总览!$H$10),总览!$I$10,IF(AND(总览!$F$10&lt;&gt;"",B2*100+VALUE(LEFT(C2,LEN(C2)-1))&gt;=总览!$F$10),总览!$G$10,IF(AND(总览!$D$10&lt;&gt;"",B2*100+VALUE(LEFT(C2,LEN(C2)-1))&gt;=总览!$D$10),总览!$E$10,总览!$B$10))))),IF(AND(总览!$L$9&lt;&gt;"",B2*100+VALUE(LEFT(C2,LEN(C2)-1))&gt;=总览!$L$9),总览!$M$9,IF(AND(总览!$J$9&lt;&gt;"",B2*100+VALUE(LEFT(C2,LEN(C2)-1))&gt;=总览!$J$9),总览!$K$9,IF(AND(总览!$H$9&lt;&gt;"",B2*100+VALUE(LEFT(C2,LEN(C2)-1))&gt;=总览!$H$9),总览!$I$9,IF(AND(总览!$F$9&lt;&gt;"",B2*100+VALUE(LEFT(C2,LEN(C2)-1))&gt;=总览!$F$9),总览!$G$9,IF(AND(总览!$D$9&lt;&gt;"",B2*100+VALUE(LEFT(C2,LEN(C2)-1))&gt;=总览!$D$9),总览!$E$9,总览!$B$9))))))</f>
        <v/>
      </c>
      <c r="I2" s="11">
        <f>IF(AND(总览!$L$11&lt;&gt;"",B2*100+VALUE(LEFT(C2,LEN(C2)-1))&gt;=总览!$L$11),总览!$M$11,IF(AND(总览!$J$11&lt;&gt;"",B2*100+VALUE(LEFT(C2,LEN(C2)-1))&gt;=总览!$J$11),总览!$K$11,IF(AND(总览!$H$11&lt;&gt;"",B2*100+VALUE(LEFT(C2,LEN(C2)-1))&gt;=总览!$H$11),总览!$I$11,IF(AND(总览!$F$11&lt;&gt;"",B2*100+VALUE(LEFT(C2,LEN(C2)-1))&gt;=总览!$F$11),总览!$G$11,IF(AND(总览!$D$11&lt;&gt;"",B2*100+VALUE(LEFT(C2,LEN(C2)-1))&gt;=总览!$D$11),总览!$E$11,总览!$B$11)))))</f>
        <v/>
      </c>
      <c r="J2" s="11">
        <f>IF(OR(B2&gt;2027,AND(B2=2027,VALUE(LEFT(C2,LEN(C2)-1))&gt;=9)),IF(AND(总览!$L$12&lt;&gt;"",B2*100+VALUE(LEFT(C2,LEN(C2)-1))&gt;=总览!$L$12),总览!$M$12,IF(AND(总览!$J$12&lt;&gt;"",B2*100+VALUE(LEFT(C2,LEN(C2)-1))&gt;=总览!$J$12),总览!$K$12,IF(AND(总览!$H$12&lt;&gt;"",B2*100+VALUE(LEFT(C2,LEN(C2)-1))&gt;=总览!$H$12),总览!$I$12,IF(AND(总览!$F$12&lt;&gt;"",B2*100+VALUE(LEFT(C2,LEN(C2)-1))&gt;=总览!$F$12),总览!$G$12,IF(AND(总览!$D$12&lt;&gt;"",B2*100+VALUE(LEFT(C2,LEN(C2)-1))&gt;=总览!$D$12),总览!$E$12,总览!$B$12))))),0)</f>
        <v/>
      </c>
      <c r="K2" s="11">
        <f>IF(AND(B2=2026,C2="5月"),120000,IF(AND(B2=2027,C2="9月"),30000,IF(C2="10月",IF(AND(总览!$L$13&lt;&gt;"",B2*100+VALUE(LEFT(C2,LEN(C2)-1))&gt;=总览!$L$13),总览!$M$13,IF(AND(总览!$J$13&lt;&gt;"",B2*100+VALUE(LEFT(C2,LEN(C2)-1))&gt;=总览!$J$13),总览!$K$13,IF(AND(总览!$H$13&lt;&gt;"",B2*100+VALUE(LEFT(C2,LEN(C2)-1))&gt;=总览!$H$13),总览!$I$13,IF(AND(总览!$F$13&lt;&gt;"",B2*100+VALUE(LEFT(C2,LEN(C2)-1))&gt;=总览!$F$13),总览!$G$13,IF(AND(总览!$D$13&lt;&gt;"",B2*100+VALUE(LEFT(C2,LEN(C2)-1))&gt;=总览!$D$13),总览!$E$13,总览!$B$13))))),0)))</f>
        <v/>
      </c>
      <c r="L2" s="30" t="inlineStr"/>
      <c r="M2" s="11">
        <f>SUM(H2:K2)</f>
        <v/>
      </c>
      <c r="N2" s="11">
        <f>G2-M2</f>
        <v/>
      </c>
      <c r="O2" s="11">
        <f>总览!$B$8+N2</f>
        <v/>
      </c>
    </row>
    <row r="3">
      <c r="A3" s="31" t="n">
        <v>2</v>
      </c>
      <c r="B3" s="31" t="n">
        <v>2026</v>
      </c>
      <c r="C3" s="31" t="inlineStr">
        <is>
          <t>3月</t>
        </is>
      </c>
      <c r="D3" s="32">
        <f>IF(AND(总览!$L$6&lt;&gt;"",B3*100+VALUE(LEFT(C3,LEN(C3)-1))&gt;=总览!$L$6),总览!$M$6,IF(AND(总览!$J$6&lt;&gt;"",B3*100+VALUE(LEFT(C3,LEN(C3)-1))&gt;=总览!$J$6),总览!$K$6,IF(AND(总览!$H$6&lt;&gt;"",B3*100+VALUE(LEFT(C3,LEN(C3)-1))&gt;=总览!$H$6),总览!$I$6,IF(AND(总览!$F$6&lt;&gt;"",B3*100+VALUE(LEFT(C3,LEN(C3)-1))&gt;=总览!$F$6),总览!$G$6,IF(AND(总览!$D$6&lt;&gt;"",B3*100+VALUE(LEFT(C3,LEN(C3)-1))&gt;=总览!$D$6),总览!$E$6,总览!$B$6)))))</f>
        <v/>
      </c>
      <c r="E3" s="32">
        <f>IF(C3="12月",IF(AND(总览!$L$7&lt;&gt;"",B3*100+VALUE(LEFT(C3,LEN(C3)-1))&gt;=总览!$L$7),总览!$M$7,IF(AND(总览!$J$7&lt;&gt;"",B3*100+VALUE(LEFT(C3,LEN(C3)-1))&gt;=总览!$J$7),总览!$K$7,IF(AND(总览!$H$7&lt;&gt;"",B3*100+VALUE(LEFT(C3,LEN(C3)-1))&gt;=总览!$H$7),总览!$I$7,IF(AND(总览!$F$7&lt;&gt;"",B3*100+VALUE(LEFT(C3,LEN(C3)-1))&gt;=总览!$F$7),总览!$G$7,IF(AND(总览!$D$7&lt;&gt;"",B3*100+VALUE(LEFT(C3,LEN(C3)-1))&gt;=总览!$D$7),总览!$E$7,总览!$B$7))))),0)</f>
        <v/>
      </c>
      <c r="F3" s="32">
        <f>ROUND(O2*总览!$B$14/12,0)</f>
        <v/>
      </c>
      <c r="G3" s="32">
        <f>D3+E3+F3</f>
        <v/>
      </c>
      <c r="H3" s="32">
        <f>IF(OR(B3&gt;2027,AND(B3=2027,VALUE(LEFT(C3,LEN(C3)-1))&gt;=9)),IF(AND(总览!$L$10&lt;&gt;"",B3*100+VALUE(LEFT(C3,LEN(C3)-1))&gt;=总览!$L$10),总览!$M$10,IF(AND(总览!$J$10&lt;&gt;"",B3*100+VALUE(LEFT(C3,LEN(C3)-1))&gt;=总览!$J$10),总览!$K$10,IF(AND(总览!$H$10&lt;&gt;"",B3*100+VALUE(LEFT(C3,LEN(C3)-1))&gt;=总览!$H$10),总览!$I$10,IF(AND(总览!$F$10&lt;&gt;"",B3*100+VALUE(LEFT(C3,LEN(C3)-1))&gt;=总览!$F$10),总览!$G$10,IF(AND(总览!$D$10&lt;&gt;"",B3*100+VALUE(LEFT(C3,LEN(C3)-1))&gt;=总览!$D$10),总览!$E$10,总览!$B$10))))),IF(AND(总览!$L$9&lt;&gt;"",B3*100+VALUE(LEFT(C3,LEN(C3)-1))&gt;=总览!$L$9),总览!$M$9,IF(AND(总览!$J$9&lt;&gt;"",B3*100+VALUE(LEFT(C3,LEN(C3)-1))&gt;=总览!$J$9),总览!$K$9,IF(AND(总览!$H$9&lt;&gt;"",B3*100+VALUE(LEFT(C3,LEN(C3)-1))&gt;=总览!$H$9),总览!$I$9,IF(AND(总览!$F$9&lt;&gt;"",B3*100+VALUE(LEFT(C3,LEN(C3)-1))&gt;=总览!$F$9),总览!$G$9,IF(AND(总览!$D$9&lt;&gt;"",B3*100+VALUE(LEFT(C3,LEN(C3)-1))&gt;=总览!$D$9),总览!$E$9,总览!$B$9))))))</f>
        <v/>
      </c>
      <c r="I3" s="32">
        <f>IF(AND(总览!$L$11&lt;&gt;"",B3*100+VALUE(LEFT(C3,LEN(C3)-1))&gt;=总览!$L$11),总览!$M$11,IF(AND(总览!$J$11&lt;&gt;"",B3*100+VALUE(LEFT(C3,LEN(C3)-1))&gt;=总览!$J$11),总览!$K$11,IF(AND(总览!$H$11&lt;&gt;"",B3*100+VALUE(LEFT(C3,LEN(C3)-1))&gt;=总览!$H$11),总览!$I$11,IF(AND(总览!$F$11&lt;&gt;"",B3*100+VALUE(LEFT(C3,LEN(C3)-1))&gt;=总览!$F$11),总览!$G$11,IF(AND(总览!$D$11&lt;&gt;"",B3*100+VALUE(LEFT(C3,LEN(C3)-1))&gt;=总览!$D$11),总览!$E$11,总览!$B$11)))))</f>
        <v/>
      </c>
      <c r="J3" s="32">
        <f>IF(OR(B3&gt;2027,AND(B3=2027,VALUE(LEFT(C3,LEN(C3)-1))&gt;=9)),IF(AND(总览!$L$12&lt;&gt;"",B3*100+VALUE(LEFT(C3,LEN(C3)-1))&gt;=总览!$L$12),总览!$M$12,IF(AND(总览!$J$12&lt;&gt;"",B3*100+VALUE(LEFT(C3,LEN(C3)-1))&gt;=总览!$J$12),总览!$K$12,IF(AND(总览!$H$12&lt;&gt;"",B3*100+VALUE(LEFT(C3,LEN(C3)-1))&gt;=总览!$H$12),总览!$I$12,IF(AND(总览!$F$12&lt;&gt;"",B3*100+VALUE(LEFT(C3,LEN(C3)-1))&gt;=总览!$F$12),总览!$G$12,IF(AND(总览!$D$12&lt;&gt;"",B3*100+VALUE(LEFT(C3,LEN(C3)-1))&gt;=总览!$D$12),总览!$E$12,总览!$B$12))))),0)</f>
        <v/>
      </c>
      <c r="K3" s="32">
        <f>IF(AND(B3=2026,C3="5月"),120000,IF(AND(B3=2027,C3="9月"),30000,IF(C3="10月",IF(AND(总览!$L$13&lt;&gt;"",B3*100+VALUE(LEFT(C3,LEN(C3)-1))&gt;=总览!$L$13),总览!$M$13,IF(AND(总览!$J$13&lt;&gt;"",B3*100+VALUE(LEFT(C3,LEN(C3)-1))&gt;=总览!$J$13),总览!$K$13,IF(AND(总览!$H$13&lt;&gt;"",B3*100+VALUE(LEFT(C3,LEN(C3)-1))&gt;=总览!$H$13),总览!$I$13,IF(AND(总览!$F$13&lt;&gt;"",B3*100+VALUE(LEFT(C3,LEN(C3)-1))&gt;=总览!$F$13),总览!$G$13,IF(AND(总览!$D$13&lt;&gt;"",B3*100+VALUE(LEFT(C3,LEN(C3)-1))&gt;=总览!$D$13),总览!$E$13,总览!$B$13))))),0)))</f>
        <v/>
      </c>
      <c r="L3" s="31" t="inlineStr"/>
      <c r="M3" s="32">
        <f>SUM(H3:K3)</f>
        <v/>
      </c>
      <c r="N3" s="32">
        <f>G3-M3</f>
        <v/>
      </c>
      <c r="O3" s="32">
        <f>O2+N3</f>
        <v/>
      </c>
    </row>
    <row r="4">
      <c r="A4" s="30" t="n">
        <v>3</v>
      </c>
      <c r="B4" s="30" t="n">
        <v>2026</v>
      </c>
      <c r="C4" s="30" t="inlineStr">
        <is>
          <t>4月</t>
        </is>
      </c>
      <c r="D4" s="11">
        <f>IF(AND(总览!$L$6&lt;&gt;"",B4*100+VALUE(LEFT(C4,LEN(C4)-1))&gt;=总览!$L$6),总览!$M$6,IF(AND(总览!$J$6&lt;&gt;"",B4*100+VALUE(LEFT(C4,LEN(C4)-1))&gt;=总览!$J$6),总览!$K$6,IF(AND(总览!$H$6&lt;&gt;"",B4*100+VALUE(LEFT(C4,LEN(C4)-1))&gt;=总览!$H$6),总览!$I$6,IF(AND(总览!$F$6&lt;&gt;"",B4*100+VALUE(LEFT(C4,LEN(C4)-1))&gt;=总览!$F$6),总览!$G$6,IF(AND(总览!$D$6&lt;&gt;"",B4*100+VALUE(LEFT(C4,LEN(C4)-1))&gt;=总览!$D$6),总览!$E$6,总览!$B$6)))))</f>
        <v/>
      </c>
      <c r="E4" s="11">
        <f>IF(C4="12月",IF(AND(总览!$L$7&lt;&gt;"",B4*100+VALUE(LEFT(C4,LEN(C4)-1))&gt;=总览!$L$7),总览!$M$7,IF(AND(总览!$J$7&lt;&gt;"",B4*100+VALUE(LEFT(C4,LEN(C4)-1))&gt;=总览!$J$7),总览!$K$7,IF(AND(总览!$H$7&lt;&gt;"",B4*100+VALUE(LEFT(C4,LEN(C4)-1))&gt;=总览!$H$7),总览!$I$7,IF(AND(总览!$F$7&lt;&gt;"",B4*100+VALUE(LEFT(C4,LEN(C4)-1))&gt;=总览!$F$7),总览!$G$7,IF(AND(总览!$D$7&lt;&gt;"",B4*100+VALUE(LEFT(C4,LEN(C4)-1))&gt;=总览!$D$7),总览!$E$7,总览!$B$7))))),0)</f>
        <v/>
      </c>
      <c r="F4" s="11">
        <f>ROUND(O3*总览!$B$14/12,0)</f>
        <v/>
      </c>
      <c r="G4" s="11">
        <f>D4+E4+F4</f>
        <v/>
      </c>
      <c r="H4" s="11">
        <f>IF(OR(B4&gt;2027,AND(B4=2027,VALUE(LEFT(C4,LEN(C4)-1))&gt;=9)),IF(AND(总览!$L$10&lt;&gt;"",B4*100+VALUE(LEFT(C4,LEN(C4)-1))&gt;=总览!$L$10),总览!$M$10,IF(AND(总览!$J$10&lt;&gt;"",B4*100+VALUE(LEFT(C4,LEN(C4)-1))&gt;=总览!$J$10),总览!$K$10,IF(AND(总览!$H$10&lt;&gt;"",B4*100+VALUE(LEFT(C4,LEN(C4)-1))&gt;=总览!$H$10),总览!$I$10,IF(AND(总览!$F$10&lt;&gt;"",B4*100+VALUE(LEFT(C4,LEN(C4)-1))&gt;=总览!$F$10),总览!$G$10,IF(AND(总览!$D$10&lt;&gt;"",B4*100+VALUE(LEFT(C4,LEN(C4)-1))&gt;=总览!$D$10),总览!$E$10,总览!$B$10))))),IF(AND(总览!$L$9&lt;&gt;"",B4*100+VALUE(LEFT(C4,LEN(C4)-1))&gt;=总览!$L$9),总览!$M$9,IF(AND(总览!$J$9&lt;&gt;"",B4*100+VALUE(LEFT(C4,LEN(C4)-1))&gt;=总览!$J$9),总览!$K$9,IF(AND(总览!$H$9&lt;&gt;"",B4*100+VALUE(LEFT(C4,LEN(C4)-1))&gt;=总览!$H$9),总览!$I$9,IF(AND(总览!$F$9&lt;&gt;"",B4*100+VALUE(LEFT(C4,LEN(C4)-1))&gt;=总览!$F$9),总览!$G$9,IF(AND(总览!$D$9&lt;&gt;"",B4*100+VALUE(LEFT(C4,LEN(C4)-1))&gt;=总览!$D$9),总览!$E$9,总览!$B$9))))))</f>
        <v/>
      </c>
      <c r="I4" s="11">
        <f>IF(AND(总览!$L$11&lt;&gt;"",B4*100+VALUE(LEFT(C4,LEN(C4)-1))&gt;=总览!$L$11),总览!$M$11,IF(AND(总览!$J$11&lt;&gt;"",B4*100+VALUE(LEFT(C4,LEN(C4)-1))&gt;=总览!$J$11),总览!$K$11,IF(AND(总览!$H$11&lt;&gt;"",B4*100+VALUE(LEFT(C4,LEN(C4)-1))&gt;=总览!$H$11),总览!$I$11,IF(AND(总览!$F$11&lt;&gt;"",B4*100+VALUE(LEFT(C4,LEN(C4)-1))&gt;=总览!$F$11),总览!$G$11,IF(AND(总览!$D$11&lt;&gt;"",B4*100+VALUE(LEFT(C4,LEN(C4)-1))&gt;=总览!$D$11),总览!$E$11,总览!$B$11)))))</f>
        <v/>
      </c>
      <c r="J4" s="11">
        <f>IF(OR(B4&gt;2027,AND(B4=2027,VALUE(LEFT(C4,LEN(C4)-1))&gt;=9)),IF(AND(总览!$L$12&lt;&gt;"",B4*100+VALUE(LEFT(C4,LEN(C4)-1))&gt;=总览!$L$12),总览!$M$12,IF(AND(总览!$J$12&lt;&gt;"",B4*100+VALUE(LEFT(C4,LEN(C4)-1))&gt;=总览!$J$12),总览!$K$12,IF(AND(总览!$H$12&lt;&gt;"",B4*100+VALUE(LEFT(C4,LEN(C4)-1))&gt;=总览!$H$12),总览!$I$12,IF(AND(总览!$F$12&lt;&gt;"",B4*100+VALUE(LEFT(C4,LEN(C4)-1))&gt;=总览!$F$12),总览!$G$12,IF(AND(总览!$D$12&lt;&gt;"",B4*100+VALUE(LEFT(C4,LEN(C4)-1))&gt;=总览!$D$12),总览!$E$12,总览!$B$12))))),0)</f>
        <v/>
      </c>
      <c r="K4" s="11">
        <f>IF(AND(B4=2026,C4="5月"),120000,IF(AND(B4=2027,C4="9月"),30000,IF(C4="10月",IF(AND(总览!$L$13&lt;&gt;"",B4*100+VALUE(LEFT(C4,LEN(C4)-1))&gt;=总览!$L$13),总览!$M$13,IF(AND(总览!$J$13&lt;&gt;"",B4*100+VALUE(LEFT(C4,LEN(C4)-1))&gt;=总览!$J$13),总览!$K$13,IF(AND(总览!$H$13&lt;&gt;"",B4*100+VALUE(LEFT(C4,LEN(C4)-1))&gt;=总览!$H$13),总览!$I$13,IF(AND(总览!$F$13&lt;&gt;"",B4*100+VALUE(LEFT(C4,LEN(C4)-1))&gt;=总览!$F$13),总览!$G$13,IF(AND(总览!$D$13&lt;&gt;"",B4*100+VALUE(LEFT(C4,LEN(C4)-1))&gt;=总览!$D$13),总览!$E$13,总览!$B$13))))),0)))</f>
        <v/>
      </c>
      <c r="L4" s="30" t="inlineStr"/>
      <c r="M4" s="11">
        <f>SUM(H4:K4)</f>
        <v/>
      </c>
      <c r="N4" s="11">
        <f>G4-M4</f>
        <v/>
      </c>
      <c r="O4" s="11">
        <f>O3+N4</f>
        <v/>
      </c>
    </row>
    <row r="5">
      <c r="A5" s="33" t="n">
        <v>4</v>
      </c>
      <c r="B5" s="33" t="n">
        <v>2026</v>
      </c>
      <c r="C5" s="33" t="inlineStr">
        <is>
          <t>5月</t>
        </is>
      </c>
      <c r="D5" s="34">
        <f>IF(AND(总览!$L$6&lt;&gt;"",B5*100+VALUE(LEFT(C5,LEN(C5)-1))&gt;=总览!$L$6),总览!$M$6,IF(AND(总览!$J$6&lt;&gt;"",B5*100+VALUE(LEFT(C5,LEN(C5)-1))&gt;=总览!$J$6),总览!$K$6,IF(AND(总览!$H$6&lt;&gt;"",B5*100+VALUE(LEFT(C5,LEN(C5)-1))&gt;=总览!$H$6),总览!$I$6,IF(AND(总览!$F$6&lt;&gt;"",B5*100+VALUE(LEFT(C5,LEN(C5)-1))&gt;=总览!$F$6),总览!$G$6,IF(AND(总览!$D$6&lt;&gt;"",B5*100+VALUE(LEFT(C5,LEN(C5)-1))&gt;=总览!$D$6),总览!$E$6,总览!$B$6)))))</f>
        <v/>
      </c>
      <c r="E5" s="34">
        <f>IF(C5="12月",IF(AND(总览!$L$7&lt;&gt;"",B5*100+VALUE(LEFT(C5,LEN(C5)-1))&gt;=总览!$L$7),总览!$M$7,IF(AND(总览!$J$7&lt;&gt;"",B5*100+VALUE(LEFT(C5,LEN(C5)-1))&gt;=总览!$J$7),总览!$K$7,IF(AND(总览!$H$7&lt;&gt;"",B5*100+VALUE(LEFT(C5,LEN(C5)-1))&gt;=总览!$H$7),总览!$I$7,IF(AND(总览!$F$7&lt;&gt;"",B5*100+VALUE(LEFT(C5,LEN(C5)-1))&gt;=总览!$F$7),总览!$G$7,IF(AND(总览!$D$7&lt;&gt;"",B5*100+VALUE(LEFT(C5,LEN(C5)-1))&gt;=总览!$D$7),总览!$E$7,总览!$B$7))))),0)</f>
        <v/>
      </c>
      <c r="F5" s="34">
        <f>ROUND(O4*总览!$B$14/12,0)</f>
        <v/>
      </c>
      <c r="G5" s="34">
        <f>D5+E5+F5</f>
        <v/>
      </c>
      <c r="H5" s="34">
        <f>IF(OR(B5&gt;2027,AND(B5=2027,VALUE(LEFT(C5,LEN(C5)-1))&gt;=9)),IF(AND(总览!$L$10&lt;&gt;"",B5*100+VALUE(LEFT(C5,LEN(C5)-1))&gt;=总览!$L$10),总览!$M$10,IF(AND(总览!$J$10&lt;&gt;"",B5*100+VALUE(LEFT(C5,LEN(C5)-1))&gt;=总览!$J$10),总览!$K$10,IF(AND(总览!$H$10&lt;&gt;"",B5*100+VALUE(LEFT(C5,LEN(C5)-1))&gt;=总览!$H$10),总览!$I$10,IF(AND(总览!$F$10&lt;&gt;"",B5*100+VALUE(LEFT(C5,LEN(C5)-1))&gt;=总览!$F$10),总览!$G$10,IF(AND(总览!$D$10&lt;&gt;"",B5*100+VALUE(LEFT(C5,LEN(C5)-1))&gt;=总览!$D$10),总览!$E$10,总览!$B$10))))),IF(AND(总览!$L$9&lt;&gt;"",B5*100+VALUE(LEFT(C5,LEN(C5)-1))&gt;=总览!$L$9),总览!$M$9,IF(AND(总览!$J$9&lt;&gt;"",B5*100+VALUE(LEFT(C5,LEN(C5)-1))&gt;=总览!$J$9),总览!$K$9,IF(AND(总览!$H$9&lt;&gt;"",B5*100+VALUE(LEFT(C5,LEN(C5)-1))&gt;=总览!$H$9),总览!$I$9,IF(AND(总览!$F$9&lt;&gt;"",B5*100+VALUE(LEFT(C5,LEN(C5)-1))&gt;=总览!$F$9),总览!$G$9,IF(AND(总览!$D$9&lt;&gt;"",B5*100+VALUE(LEFT(C5,LEN(C5)-1))&gt;=总览!$D$9),总览!$E$9,总览!$B$9))))))</f>
        <v/>
      </c>
      <c r="I5" s="34">
        <f>IF(AND(总览!$L$11&lt;&gt;"",B5*100+VALUE(LEFT(C5,LEN(C5)-1))&gt;=总览!$L$11),总览!$M$11,IF(AND(总览!$J$11&lt;&gt;"",B5*100+VALUE(LEFT(C5,LEN(C5)-1))&gt;=总览!$J$11),总览!$K$11,IF(AND(总览!$H$11&lt;&gt;"",B5*100+VALUE(LEFT(C5,LEN(C5)-1))&gt;=总览!$H$11),总览!$I$11,IF(AND(总览!$F$11&lt;&gt;"",B5*100+VALUE(LEFT(C5,LEN(C5)-1))&gt;=总览!$F$11),总览!$G$11,IF(AND(总览!$D$11&lt;&gt;"",B5*100+VALUE(LEFT(C5,LEN(C5)-1))&gt;=总览!$D$11),总览!$E$11,总览!$B$11)))))</f>
        <v/>
      </c>
      <c r="J5" s="34">
        <f>IF(OR(B5&gt;2027,AND(B5=2027,VALUE(LEFT(C5,LEN(C5)-1))&gt;=9)),IF(AND(总览!$L$12&lt;&gt;"",B5*100+VALUE(LEFT(C5,LEN(C5)-1))&gt;=总览!$L$12),总览!$M$12,IF(AND(总览!$J$12&lt;&gt;"",B5*100+VALUE(LEFT(C5,LEN(C5)-1))&gt;=总览!$J$12),总览!$K$12,IF(AND(总览!$H$12&lt;&gt;"",B5*100+VALUE(LEFT(C5,LEN(C5)-1))&gt;=总览!$H$12),总览!$I$12,IF(AND(总览!$F$12&lt;&gt;"",B5*100+VALUE(LEFT(C5,LEN(C5)-1))&gt;=总览!$F$12),总览!$G$12,IF(AND(总览!$D$12&lt;&gt;"",B5*100+VALUE(LEFT(C5,LEN(C5)-1))&gt;=总览!$D$12),总览!$E$12,总览!$B$12))))),0)</f>
        <v/>
      </c>
      <c r="K5" s="34">
        <f>IF(AND(B5=2026,C5="5月"),120000,IF(AND(B5=2027,C5="9月"),30000,IF(C5="10月",IF(AND(总览!$L$13&lt;&gt;"",B5*100+VALUE(LEFT(C5,LEN(C5)-1))&gt;=总览!$L$13),总览!$M$13,IF(AND(总览!$J$13&lt;&gt;"",B5*100+VALUE(LEFT(C5,LEN(C5)-1))&gt;=总览!$J$13),总览!$K$13,IF(AND(总览!$H$13&lt;&gt;"",B5*100+VALUE(LEFT(C5,LEN(C5)-1))&gt;=总览!$H$13),总览!$I$13,IF(AND(总览!$F$13&lt;&gt;"",B5*100+VALUE(LEFT(C5,LEN(C5)-1))&gt;=总览!$F$13),总览!$G$13,IF(AND(总览!$D$13&lt;&gt;"",B5*100+VALUE(LEFT(C5,LEN(C5)-1))&gt;=总览!$D$13),总览!$E$13,总览!$B$13))))),0)))</f>
        <v/>
      </c>
      <c r="L5" s="33" t="inlineStr">
        <is>
          <t>结婚支出</t>
        </is>
      </c>
      <c r="M5" s="34">
        <f>SUM(H5:K5)</f>
        <v/>
      </c>
      <c r="N5" s="34">
        <f>G5-M5</f>
        <v/>
      </c>
      <c r="O5" s="34">
        <f>O4+N5</f>
        <v/>
      </c>
    </row>
    <row r="6">
      <c r="A6" s="30" t="n">
        <v>5</v>
      </c>
      <c r="B6" s="30" t="n">
        <v>2026</v>
      </c>
      <c r="C6" s="30" t="inlineStr">
        <is>
          <t>6月</t>
        </is>
      </c>
      <c r="D6" s="11">
        <f>IF(AND(总览!$L$6&lt;&gt;"",B6*100+VALUE(LEFT(C6,LEN(C6)-1))&gt;=总览!$L$6),总览!$M$6,IF(AND(总览!$J$6&lt;&gt;"",B6*100+VALUE(LEFT(C6,LEN(C6)-1))&gt;=总览!$J$6),总览!$K$6,IF(AND(总览!$H$6&lt;&gt;"",B6*100+VALUE(LEFT(C6,LEN(C6)-1))&gt;=总览!$H$6),总览!$I$6,IF(AND(总览!$F$6&lt;&gt;"",B6*100+VALUE(LEFT(C6,LEN(C6)-1))&gt;=总览!$F$6),总览!$G$6,IF(AND(总览!$D$6&lt;&gt;"",B6*100+VALUE(LEFT(C6,LEN(C6)-1))&gt;=总览!$D$6),总览!$E$6,总览!$B$6)))))</f>
        <v/>
      </c>
      <c r="E6" s="11">
        <f>IF(C6="12月",IF(AND(总览!$L$7&lt;&gt;"",B6*100+VALUE(LEFT(C6,LEN(C6)-1))&gt;=总览!$L$7),总览!$M$7,IF(AND(总览!$J$7&lt;&gt;"",B6*100+VALUE(LEFT(C6,LEN(C6)-1))&gt;=总览!$J$7),总览!$K$7,IF(AND(总览!$H$7&lt;&gt;"",B6*100+VALUE(LEFT(C6,LEN(C6)-1))&gt;=总览!$H$7),总览!$I$7,IF(AND(总览!$F$7&lt;&gt;"",B6*100+VALUE(LEFT(C6,LEN(C6)-1))&gt;=总览!$F$7),总览!$G$7,IF(AND(总览!$D$7&lt;&gt;"",B6*100+VALUE(LEFT(C6,LEN(C6)-1))&gt;=总览!$D$7),总览!$E$7,总览!$B$7))))),0)</f>
        <v/>
      </c>
      <c r="F6" s="11">
        <f>ROUND(O5*总览!$B$14/12,0)</f>
        <v/>
      </c>
      <c r="G6" s="11">
        <f>D6+E6+F6</f>
        <v/>
      </c>
      <c r="H6" s="11">
        <f>IF(OR(B6&gt;2027,AND(B6=2027,VALUE(LEFT(C6,LEN(C6)-1))&gt;=9)),IF(AND(总览!$L$10&lt;&gt;"",B6*100+VALUE(LEFT(C6,LEN(C6)-1))&gt;=总览!$L$10),总览!$M$10,IF(AND(总览!$J$10&lt;&gt;"",B6*100+VALUE(LEFT(C6,LEN(C6)-1))&gt;=总览!$J$10),总览!$K$10,IF(AND(总览!$H$10&lt;&gt;"",B6*100+VALUE(LEFT(C6,LEN(C6)-1))&gt;=总览!$H$10),总览!$I$10,IF(AND(总览!$F$10&lt;&gt;"",B6*100+VALUE(LEFT(C6,LEN(C6)-1))&gt;=总览!$F$10),总览!$G$10,IF(AND(总览!$D$10&lt;&gt;"",B6*100+VALUE(LEFT(C6,LEN(C6)-1))&gt;=总览!$D$10),总览!$E$10,总览!$B$10))))),IF(AND(总览!$L$9&lt;&gt;"",B6*100+VALUE(LEFT(C6,LEN(C6)-1))&gt;=总览!$L$9),总览!$M$9,IF(AND(总览!$J$9&lt;&gt;"",B6*100+VALUE(LEFT(C6,LEN(C6)-1))&gt;=总览!$J$9),总览!$K$9,IF(AND(总览!$H$9&lt;&gt;"",B6*100+VALUE(LEFT(C6,LEN(C6)-1))&gt;=总览!$H$9),总览!$I$9,IF(AND(总览!$F$9&lt;&gt;"",B6*100+VALUE(LEFT(C6,LEN(C6)-1))&gt;=总览!$F$9),总览!$G$9,IF(AND(总览!$D$9&lt;&gt;"",B6*100+VALUE(LEFT(C6,LEN(C6)-1))&gt;=总览!$D$9),总览!$E$9,总览!$B$9))))))</f>
        <v/>
      </c>
      <c r="I6" s="11">
        <f>IF(AND(总览!$L$11&lt;&gt;"",B6*100+VALUE(LEFT(C6,LEN(C6)-1))&gt;=总览!$L$11),总览!$M$11,IF(AND(总览!$J$11&lt;&gt;"",B6*100+VALUE(LEFT(C6,LEN(C6)-1))&gt;=总览!$J$11),总览!$K$11,IF(AND(总览!$H$11&lt;&gt;"",B6*100+VALUE(LEFT(C6,LEN(C6)-1))&gt;=总览!$H$11),总览!$I$11,IF(AND(总览!$F$11&lt;&gt;"",B6*100+VALUE(LEFT(C6,LEN(C6)-1))&gt;=总览!$F$11),总览!$G$11,IF(AND(总览!$D$11&lt;&gt;"",B6*100+VALUE(LEFT(C6,LEN(C6)-1))&gt;=总览!$D$11),总览!$E$11,总览!$B$11)))))</f>
        <v/>
      </c>
      <c r="J6" s="11">
        <f>IF(OR(B6&gt;2027,AND(B6=2027,VALUE(LEFT(C6,LEN(C6)-1))&gt;=9)),IF(AND(总览!$L$12&lt;&gt;"",B6*100+VALUE(LEFT(C6,LEN(C6)-1))&gt;=总览!$L$12),总览!$M$12,IF(AND(总览!$J$12&lt;&gt;"",B6*100+VALUE(LEFT(C6,LEN(C6)-1))&gt;=总览!$J$12),总览!$K$12,IF(AND(总览!$H$12&lt;&gt;"",B6*100+VALUE(LEFT(C6,LEN(C6)-1))&gt;=总览!$H$12),总览!$I$12,IF(AND(总览!$F$12&lt;&gt;"",B6*100+VALUE(LEFT(C6,LEN(C6)-1))&gt;=总览!$F$12),总览!$G$12,IF(AND(总览!$D$12&lt;&gt;"",B6*100+VALUE(LEFT(C6,LEN(C6)-1))&gt;=总览!$D$12),总览!$E$12,总览!$B$12))))),0)</f>
        <v/>
      </c>
      <c r="K6" s="11">
        <f>IF(AND(B6=2026,C6="5月"),120000,IF(AND(B6=2027,C6="9月"),30000,IF(C6="10月",IF(AND(总览!$L$13&lt;&gt;"",B6*100+VALUE(LEFT(C6,LEN(C6)-1))&gt;=总览!$L$13),总览!$M$13,IF(AND(总览!$J$13&lt;&gt;"",B6*100+VALUE(LEFT(C6,LEN(C6)-1))&gt;=总览!$J$13),总览!$K$13,IF(AND(总览!$H$13&lt;&gt;"",B6*100+VALUE(LEFT(C6,LEN(C6)-1))&gt;=总览!$H$13),总览!$I$13,IF(AND(总览!$F$13&lt;&gt;"",B6*100+VALUE(LEFT(C6,LEN(C6)-1))&gt;=总览!$F$13),总览!$G$13,IF(AND(总览!$D$13&lt;&gt;"",B6*100+VALUE(LEFT(C6,LEN(C6)-1))&gt;=总览!$D$13),总览!$E$13,总览!$B$13))))),0)))</f>
        <v/>
      </c>
      <c r="L6" s="30" t="inlineStr"/>
      <c r="M6" s="11">
        <f>SUM(H6:K6)</f>
        <v/>
      </c>
      <c r="N6" s="11">
        <f>G6-M6</f>
        <v/>
      </c>
      <c r="O6" s="11">
        <f>O5+N6</f>
        <v/>
      </c>
    </row>
    <row r="7">
      <c r="A7" s="31" t="n">
        <v>6</v>
      </c>
      <c r="B7" s="31" t="n">
        <v>2026</v>
      </c>
      <c r="C7" s="31" t="inlineStr">
        <is>
          <t>7月</t>
        </is>
      </c>
      <c r="D7" s="32">
        <f>IF(AND(总览!$L$6&lt;&gt;"",B7*100+VALUE(LEFT(C7,LEN(C7)-1))&gt;=总览!$L$6),总览!$M$6,IF(AND(总览!$J$6&lt;&gt;"",B7*100+VALUE(LEFT(C7,LEN(C7)-1))&gt;=总览!$J$6),总览!$K$6,IF(AND(总览!$H$6&lt;&gt;"",B7*100+VALUE(LEFT(C7,LEN(C7)-1))&gt;=总览!$H$6),总览!$I$6,IF(AND(总览!$F$6&lt;&gt;"",B7*100+VALUE(LEFT(C7,LEN(C7)-1))&gt;=总览!$F$6),总览!$G$6,IF(AND(总览!$D$6&lt;&gt;"",B7*100+VALUE(LEFT(C7,LEN(C7)-1))&gt;=总览!$D$6),总览!$E$6,总览!$B$6)))))</f>
        <v/>
      </c>
      <c r="E7" s="32">
        <f>IF(C7="12月",IF(AND(总览!$L$7&lt;&gt;"",B7*100+VALUE(LEFT(C7,LEN(C7)-1))&gt;=总览!$L$7),总览!$M$7,IF(AND(总览!$J$7&lt;&gt;"",B7*100+VALUE(LEFT(C7,LEN(C7)-1))&gt;=总览!$J$7),总览!$K$7,IF(AND(总览!$H$7&lt;&gt;"",B7*100+VALUE(LEFT(C7,LEN(C7)-1))&gt;=总览!$H$7),总览!$I$7,IF(AND(总览!$F$7&lt;&gt;"",B7*100+VALUE(LEFT(C7,LEN(C7)-1))&gt;=总览!$F$7),总览!$G$7,IF(AND(总览!$D$7&lt;&gt;"",B7*100+VALUE(LEFT(C7,LEN(C7)-1))&gt;=总览!$D$7),总览!$E$7,总览!$B$7))))),0)</f>
        <v/>
      </c>
      <c r="F7" s="32">
        <f>ROUND(O6*总览!$B$14/12,0)</f>
        <v/>
      </c>
      <c r="G7" s="32">
        <f>D7+E7+F7</f>
        <v/>
      </c>
      <c r="H7" s="32">
        <f>IF(OR(B7&gt;2027,AND(B7=2027,VALUE(LEFT(C7,LEN(C7)-1))&gt;=9)),IF(AND(总览!$L$10&lt;&gt;"",B7*100+VALUE(LEFT(C7,LEN(C7)-1))&gt;=总览!$L$10),总览!$M$10,IF(AND(总览!$J$10&lt;&gt;"",B7*100+VALUE(LEFT(C7,LEN(C7)-1))&gt;=总览!$J$10),总览!$K$10,IF(AND(总览!$H$10&lt;&gt;"",B7*100+VALUE(LEFT(C7,LEN(C7)-1))&gt;=总览!$H$10),总览!$I$10,IF(AND(总览!$F$10&lt;&gt;"",B7*100+VALUE(LEFT(C7,LEN(C7)-1))&gt;=总览!$F$10),总览!$G$10,IF(AND(总览!$D$10&lt;&gt;"",B7*100+VALUE(LEFT(C7,LEN(C7)-1))&gt;=总览!$D$10),总览!$E$10,总览!$B$10))))),IF(AND(总览!$L$9&lt;&gt;"",B7*100+VALUE(LEFT(C7,LEN(C7)-1))&gt;=总览!$L$9),总览!$M$9,IF(AND(总览!$J$9&lt;&gt;"",B7*100+VALUE(LEFT(C7,LEN(C7)-1))&gt;=总览!$J$9),总览!$K$9,IF(AND(总览!$H$9&lt;&gt;"",B7*100+VALUE(LEFT(C7,LEN(C7)-1))&gt;=总览!$H$9),总览!$I$9,IF(AND(总览!$F$9&lt;&gt;"",B7*100+VALUE(LEFT(C7,LEN(C7)-1))&gt;=总览!$F$9),总览!$G$9,IF(AND(总览!$D$9&lt;&gt;"",B7*100+VALUE(LEFT(C7,LEN(C7)-1))&gt;=总览!$D$9),总览!$E$9,总览!$B$9))))))</f>
        <v/>
      </c>
      <c r="I7" s="32">
        <f>IF(AND(总览!$L$11&lt;&gt;"",B7*100+VALUE(LEFT(C7,LEN(C7)-1))&gt;=总览!$L$11),总览!$M$11,IF(AND(总览!$J$11&lt;&gt;"",B7*100+VALUE(LEFT(C7,LEN(C7)-1))&gt;=总览!$J$11),总览!$K$11,IF(AND(总览!$H$11&lt;&gt;"",B7*100+VALUE(LEFT(C7,LEN(C7)-1))&gt;=总览!$H$11),总览!$I$11,IF(AND(总览!$F$11&lt;&gt;"",B7*100+VALUE(LEFT(C7,LEN(C7)-1))&gt;=总览!$F$11),总览!$G$11,IF(AND(总览!$D$11&lt;&gt;"",B7*100+VALUE(LEFT(C7,LEN(C7)-1))&gt;=总览!$D$11),总览!$E$11,总览!$B$11)))))</f>
        <v/>
      </c>
      <c r="J7" s="32">
        <f>IF(OR(B7&gt;2027,AND(B7=2027,VALUE(LEFT(C7,LEN(C7)-1))&gt;=9)),IF(AND(总览!$L$12&lt;&gt;"",B7*100+VALUE(LEFT(C7,LEN(C7)-1))&gt;=总览!$L$12),总览!$M$12,IF(AND(总览!$J$12&lt;&gt;"",B7*100+VALUE(LEFT(C7,LEN(C7)-1))&gt;=总览!$J$12),总览!$K$12,IF(AND(总览!$H$12&lt;&gt;"",B7*100+VALUE(LEFT(C7,LEN(C7)-1))&gt;=总览!$H$12),总览!$I$12,IF(AND(总览!$F$12&lt;&gt;"",B7*100+VALUE(LEFT(C7,LEN(C7)-1))&gt;=总览!$F$12),总览!$G$12,IF(AND(总览!$D$12&lt;&gt;"",B7*100+VALUE(LEFT(C7,LEN(C7)-1))&gt;=总览!$D$12),总览!$E$12,总览!$B$12))))),0)</f>
        <v/>
      </c>
      <c r="K7" s="32">
        <f>IF(AND(B7=2026,C7="5月"),120000,IF(AND(B7=2027,C7="9月"),30000,IF(C7="10月",IF(AND(总览!$L$13&lt;&gt;"",B7*100+VALUE(LEFT(C7,LEN(C7)-1))&gt;=总览!$L$13),总览!$M$13,IF(AND(总览!$J$13&lt;&gt;"",B7*100+VALUE(LEFT(C7,LEN(C7)-1))&gt;=总览!$J$13),总览!$K$13,IF(AND(总览!$H$13&lt;&gt;"",B7*100+VALUE(LEFT(C7,LEN(C7)-1))&gt;=总览!$H$13),总览!$I$13,IF(AND(总览!$F$13&lt;&gt;"",B7*100+VALUE(LEFT(C7,LEN(C7)-1))&gt;=总览!$F$13),总览!$G$13,IF(AND(总览!$D$13&lt;&gt;"",B7*100+VALUE(LEFT(C7,LEN(C7)-1))&gt;=总览!$D$13),总览!$E$13,总览!$B$13))))),0)))</f>
        <v/>
      </c>
      <c r="L7" s="31" t="inlineStr"/>
      <c r="M7" s="32">
        <f>SUM(H7:K7)</f>
        <v/>
      </c>
      <c r="N7" s="32">
        <f>G7-M7</f>
        <v/>
      </c>
      <c r="O7" s="32">
        <f>O6+N7</f>
        <v/>
      </c>
    </row>
    <row r="8">
      <c r="A8" s="30" t="n">
        <v>7</v>
      </c>
      <c r="B8" s="30" t="n">
        <v>2026</v>
      </c>
      <c r="C8" s="30" t="inlineStr">
        <is>
          <t>8月</t>
        </is>
      </c>
      <c r="D8" s="11">
        <f>IF(AND(总览!$L$6&lt;&gt;"",B8*100+VALUE(LEFT(C8,LEN(C8)-1))&gt;=总览!$L$6),总览!$M$6,IF(AND(总览!$J$6&lt;&gt;"",B8*100+VALUE(LEFT(C8,LEN(C8)-1))&gt;=总览!$J$6),总览!$K$6,IF(AND(总览!$H$6&lt;&gt;"",B8*100+VALUE(LEFT(C8,LEN(C8)-1))&gt;=总览!$H$6),总览!$I$6,IF(AND(总览!$F$6&lt;&gt;"",B8*100+VALUE(LEFT(C8,LEN(C8)-1))&gt;=总览!$F$6),总览!$G$6,IF(AND(总览!$D$6&lt;&gt;"",B8*100+VALUE(LEFT(C8,LEN(C8)-1))&gt;=总览!$D$6),总览!$E$6,总览!$B$6)))))</f>
        <v/>
      </c>
      <c r="E8" s="11">
        <f>IF(C8="12月",IF(AND(总览!$L$7&lt;&gt;"",B8*100+VALUE(LEFT(C8,LEN(C8)-1))&gt;=总览!$L$7),总览!$M$7,IF(AND(总览!$J$7&lt;&gt;"",B8*100+VALUE(LEFT(C8,LEN(C8)-1))&gt;=总览!$J$7),总览!$K$7,IF(AND(总览!$H$7&lt;&gt;"",B8*100+VALUE(LEFT(C8,LEN(C8)-1))&gt;=总览!$H$7),总览!$I$7,IF(AND(总览!$F$7&lt;&gt;"",B8*100+VALUE(LEFT(C8,LEN(C8)-1))&gt;=总览!$F$7),总览!$G$7,IF(AND(总览!$D$7&lt;&gt;"",B8*100+VALUE(LEFT(C8,LEN(C8)-1))&gt;=总览!$D$7),总览!$E$7,总览!$B$7))))),0)</f>
        <v/>
      </c>
      <c r="F8" s="11">
        <f>ROUND(O7*总览!$B$14/12,0)</f>
        <v/>
      </c>
      <c r="G8" s="11">
        <f>D8+E8+F8</f>
        <v/>
      </c>
      <c r="H8" s="11">
        <f>IF(OR(B8&gt;2027,AND(B8=2027,VALUE(LEFT(C8,LEN(C8)-1))&gt;=9)),IF(AND(总览!$L$10&lt;&gt;"",B8*100+VALUE(LEFT(C8,LEN(C8)-1))&gt;=总览!$L$10),总览!$M$10,IF(AND(总览!$J$10&lt;&gt;"",B8*100+VALUE(LEFT(C8,LEN(C8)-1))&gt;=总览!$J$10),总览!$K$10,IF(AND(总览!$H$10&lt;&gt;"",B8*100+VALUE(LEFT(C8,LEN(C8)-1))&gt;=总览!$H$10),总览!$I$10,IF(AND(总览!$F$10&lt;&gt;"",B8*100+VALUE(LEFT(C8,LEN(C8)-1))&gt;=总览!$F$10),总览!$G$10,IF(AND(总览!$D$10&lt;&gt;"",B8*100+VALUE(LEFT(C8,LEN(C8)-1))&gt;=总览!$D$10),总览!$E$10,总览!$B$10))))),IF(AND(总览!$L$9&lt;&gt;"",B8*100+VALUE(LEFT(C8,LEN(C8)-1))&gt;=总览!$L$9),总览!$M$9,IF(AND(总览!$J$9&lt;&gt;"",B8*100+VALUE(LEFT(C8,LEN(C8)-1))&gt;=总览!$J$9),总览!$K$9,IF(AND(总览!$H$9&lt;&gt;"",B8*100+VALUE(LEFT(C8,LEN(C8)-1))&gt;=总览!$H$9),总览!$I$9,IF(AND(总览!$F$9&lt;&gt;"",B8*100+VALUE(LEFT(C8,LEN(C8)-1))&gt;=总览!$F$9),总览!$G$9,IF(AND(总览!$D$9&lt;&gt;"",B8*100+VALUE(LEFT(C8,LEN(C8)-1))&gt;=总览!$D$9),总览!$E$9,总览!$B$9))))))</f>
        <v/>
      </c>
      <c r="I8" s="11">
        <f>IF(AND(总览!$L$11&lt;&gt;"",B8*100+VALUE(LEFT(C8,LEN(C8)-1))&gt;=总览!$L$11),总览!$M$11,IF(AND(总览!$J$11&lt;&gt;"",B8*100+VALUE(LEFT(C8,LEN(C8)-1))&gt;=总览!$J$11),总览!$K$11,IF(AND(总览!$H$11&lt;&gt;"",B8*100+VALUE(LEFT(C8,LEN(C8)-1))&gt;=总览!$H$11),总览!$I$11,IF(AND(总览!$F$11&lt;&gt;"",B8*100+VALUE(LEFT(C8,LEN(C8)-1))&gt;=总览!$F$11),总览!$G$11,IF(AND(总览!$D$11&lt;&gt;"",B8*100+VALUE(LEFT(C8,LEN(C8)-1))&gt;=总览!$D$11),总览!$E$11,总览!$B$11)))))</f>
        <v/>
      </c>
      <c r="J8" s="11">
        <f>IF(OR(B8&gt;2027,AND(B8=2027,VALUE(LEFT(C8,LEN(C8)-1))&gt;=9)),IF(AND(总览!$L$12&lt;&gt;"",B8*100+VALUE(LEFT(C8,LEN(C8)-1))&gt;=总览!$L$12),总览!$M$12,IF(AND(总览!$J$12&lt;&gt;"",B8*100+VALUE(LEFT(C8,LEN(C8)-1))&gt;=总览!$J$12),总览!$K$12,IF(AND(总览!$H$12&lt;&gt;"",B8*100+VALUE(LEFT(C8,LEN(C8)-1))&gt;=总览!$H$12),总览!$I$12,IF(AND(总览!$F$12&lt;&gt;"",B8*100+VALUE(LEFT(C8,LEN(C8)-1))&gt;=总览!$F$12),总览!$G$12,IF(AND(总览!$D$12&lt;&gt;"",B8*100+VALUE(LEFT(C8,LEN(C8)-1))&gt;=总览!$D$12),总览!$E$12,总览!$B$12))))),0)</f>
        <v/>
      </c>
      <c r="K8" s="11">
        <f>IF(AND(B8=2026,C8="5月"),120000,IF(AND(B8=2027,C8="9月"),30000,IF(C8="10月",IF(AND(总览!$L$13&lt;&gt;"",B8*100+VALUE(LEFT(C8,LEN(C8)-1))&gt;=总览!$L$13),总览!$M$13,IF(AND(总览!$J$13&lt;&gt;"",B8*100+VALUE(LEFT(C8,LEN(C8)-1))&gt;=总览!$J$13),总览!$K$13,IF(AND(总览!$H$13&lt;&gt;"",B8*100+VALUE(LEFT(C8,LEN(C8)-1))&gt;=总览!$H$13),总览!$I$13,IF(AND(总览!$F$13&lt;&gt;"",B8*100+VALUE(LEFT(C8,LEN(C8)-1))&gt;=总览!$F$13),总览!$G$13,IF(AND(总览!$D$13&lt;&gt;"",B8*100+VALUE(LEFT(C8,LEN(C8)-1))&gt;=总览!$D$13),总览!$E$13,总览!$B$13))))),0)))</f>
        <v/>
      </c>
      <c r="L8" s="30" t="inlineStr"/>
      <c r="M8" s="11">
        <f>SUM(H8:K8)</f>
        <v/>
      </c>
      <c r="N8" s="11">
        <f>G8-M8</f>
        <v/>
      </c>
      <c r="O8" s="11">
        <f>O7+N8</f>
        <v/>
      </c>
    </row>
    <row r="9">
      <c r="A9" s="31" t="n">
        <v>8</v>
      </c>
      <c r="B9" s="31" t="n">
        <v>2026</v>
      </c>
      <c r="C9" s="31" t="inlineStr">
        <is>
          <t>9月</t>
        </is>
      </c>
      <c r="D9" s="32">
        <f>IF(AND(总览!$L$6&lt;&gt;"",B9*100+VALUE(LEFT(C9,LEN(C9)-1))&gt;=总览!$L$6),总览!$M$6,IF(AND(总览!$J$6&lt;&gt;"",B9*100+VALUE(LEFT(C9,LEN(C9)-1))&gt;=总览!$J$6),总览!$K$6,IF(AND(总览!$H$6&lt;&gt;"",B9*100+VALUE(LEFT(C9,LEN(C9)-1))&gt;=总览!$H$6),总览!$I$6,IF(AND(总览!$F$6&lt;&gt;"",B9*100+VALUE(LEFT(C9,LEN(C9)-1))&gt;=总览!$F$6),总览!$G$6,IF(AND(总览!$D$6&lt;&gt;"",B9*100+VALUE(LEFT(C9,LEN(C9)-1))&gt;=总览!$D$6),总览!$E$6,总览!$B$6)))))</f>
        <v/>
      </c>
      <c r="E9" s="32">
        <f>IF(C9="12月",IF(AND(总览!$L$7&lt;&gt;"",B9*100+VALUE(LEFT(C9,LEN(C9)-1))&gt;=总览!$L$7),总览!$M$7,IF(AND(总览!$J$7&lt;&gt;"",B9*100+VALUE(LEFT(C9,LEN(C9)-1))&gt;=总览!$J$7),总览!$K$7,IF(AND(总览!$H$7&lt;&gt;"",B9*100+VALUE(LEFT(C9,LEN(C9)-1))&gt;=总览!$H$7),总览!$I$7,IF(AND(总览!$F$7&lt;&gt;"",B9*100+VALUE(LEFT(C9,LEN(C9)-1))&gt;=总览!$F$7),总览!$G$7,IF(AND(总览!$D$7&lt;&gt;"",B9*100+VALUE(LEFT(C9,LEN(C9)-1))&gt;=总览!$D$7),总览!$E$7,总览!$B$7))))),0)</f>
        <v/>
      </c>
      <c r="F9" s="32">
        <f>ROUND(O8*总览!$B$14/12,0)</f>
        <v/>
      </c>
      <c r="G9" s="32">
        <f>D9+E9+F9</f>
        <v/>
      </c>
      <c r="H9" s="32">
        <f>IF(OR(B9&gt;2027,AND(B9=2027,VALUE(LEFT(C9,LEN(C9)-1))&gt;=9)),IF(AND(总览!$L$10&lt;&gt;"",B9*100+VALUE(LEFT(C9,LEN(C9)-1))&gt;=总览!$L$10),总览!$M$10,IF(AND(总览!$J$10&lt;&gt;"",B9*100+VALUE(LEFT(C9,LEN(C9)-1))&gt;=总览!$J$10),总览!$K$10,IF(AND(总览!$H$10&lt;&gt;"",B9*100+VALUE(LEFT(C9,LEN(C9)-1))&gt;=总览!$H$10),总览!$I$10,IF(AND(总览!$F$10&lt;&gt;"",B9*100+VALUE(LEFT(C9,LEN(C9)-1))&gt;=总览!$F$10),总览!$G$10,IF(AND(总览!$D$10&lt;&gt;"",B9*100+VALUE(LEFT(C9,LEN(C9)-1))&gt;=总览!$D$10),总览!$E$10,总览!$B$10))))),IF(AND(总览!$L$9&lt;&gt;"",B9*100+VALUE(LEFT(C9,LEN(C9)-1))&gt;=总览!$L$9),总览!$M$9,IF(AND(总览!$J$9&lt;&gt;"",B9*100+VALUE(LEFT(C9,LEN(C9)-1))&gt;=总览!$J$9),总览!$K$9,IF(AND(总览!$H$9&lt;&gt;"",B9*100+VALUE(LEFT(C9,LEN(C9)-1))&gt;=总览!$H$9),总览!$I$9,IF(AND(总览!$F$9&lt;&gt;"",B9*100+VALUE(LEFT(C9,LEN(C9)-1))&gt;=总览!$F$9),总览!$G$9,IF(AND(总览!$D$9&lt;&gt;"",B9*100+VALUE(LEFT(C9,LEN(C9)-1))&gt;=总览!$D$9),总览!$E$9,总览!$B$9))))))</f>
        <v/>
      </c>
      <c r="I9" s="32">
        <f>IF(AND(总览!$L$11&lt;&gt;"",B9*100+VALUE(LEFT(C9,LEN(C9)-1))&gt;=总览!$L$11),总览!$M$11,IF(AND(总览!$J$11&lt;&gt;"",B9*100+VALUE(LEFT(C9,LEN(C9)-1))&gt;=总览!$J$11),总览!$K$11,IF(AND(总览!$H$11&lt;&gt;"",B9*100+VALUE(LEFT(C9,LEN(C9)-1))&gt;=总览!$H$11),总览!$I$11,IF(AND(总览!$F$11&lt;&gt;"",B9*100+VALUE(LEFT(C9,LEN(C9)-1))&gt;=总览!$F$11),总览!$G$11,IF(AND(总览!$D$11&lt;&gt;"",B9*100+VALUE(LEFT(C9,LEN(C9)-1))&gt;=总览!$D$11),总览!$E$11,总览!$B$11)))))</f>
        <v/>
      </c>
      <c r="J9" s="32">
        <f>IF(OR(B9&gt;2027,AND(B9=2027,VALUE(LEFT(C9,LEN(C9)-1))&gt;=9)),IF(AND(总览!$L$12&lt;&gt;"",B9*100+VALUE(LEFT(C9,LEN(C9)-1))&gt;=总览!$L$12),总览!$M$12,IF(AND(总览!$J$12&lt;&gt;"",B9*100+VALUE(LEFT(C9,LEN(C9)-1))&gt;=总览!$J$12),总览!$K$12,IF(AND(总览!$H$12&lt;&gt;"",B9*100+VALUE(LEFT(C9,LEN(C9)-1))&gt;=总览!$H$12),总览!$I$12,IF(AND(总览!$F$12&lt;&gt;"",B9*100+VALUE(LEFT(C9,LEN(C9)-1))&gt;=总览!$F$12),总览!$G$12,IF(AND(总览!$D$12&lt;&gt;"",B9*100+VALUE(LEFT(C9,LEN(C9)-1))&gt;=总览!$D$12),总览!$E$12,总览!$B$12))))),0)</f>
        <v/>
      </c>
      <c r="K9" s="32">
        <f>IF(AND(B9=2026,C9="5月"),120000,IF(AND(B9=2027,C9="9月"),30000,IF(C9="10月",IF(AND(总览!$L$13&lt;&gt;"",B9*100+VALUE(LEFT(C9,LEN(C9)-1))&gt;=总览!$L$13),总览!$M$13,IF(AND(总览!$J$13&lt;&gt;"",B9*100+VALUE(LEFT(C9,LEN(C9)-1))&gt;=总览!$J$13),总览!$K$13,IF(AND(总览!$H$13&lt;&gt;"",B9*100+VALUE(LEFT(C9,LEN(C9)-1))&gt;=总览!$H$13),总览!$I$13,IF(AND(总览!$F$13&lt;&gt;"",B9*100+VALUE(LEFT(C9,LEN(C9)-1))&gt;=总览!$F$13),总览!$G$13,IF(AND(总览!$D$13&lt;&gt;"",B9*100+VALUE(LEFT(C9,LEN(C9)-1))&gt;=总览!$D$13),总览!$E$13,总览!$B$13))))),0)))</f>
        <v/>
      </c>
      <c r="L9" s="31" t="inlineStr"/>
      <c r="M9" s="32">
        <f>SUM(H9:K9)</f>
        <v/>
      </c>
      <c r="N9" s="32">
        <f>G9-M9</f>
        <v/>
      </c>
      <c r="O9" s="32">
        <f>O8+N9</f>
        <v/>
      </c>
    </row>
    <row r="10">
      <c r="A10" s="33" t="n">
        <v>9</v>
      </c>
      <c r="B10" s="33" t="n">
        <v>2026</v>
      </c>
      <c r="C10" s="33" t="inlineStr">
        <is>
          <t>10月</t>
        </is>
      </c>
      <c r="D10" s="34">
        <f>IF(AND(总览!$L$6&lt;&gt;"",B10*100+VALUE(LEFT(C10,LEN(C10)-1))&gt;=总览!$L$6),总览!$M$6,IF(AND(总览!$J$6&lt;&gt;"",B10*100+VALUE(LEFT(C10,LEN(C10)-1))&gt;=总览!$J$6),总览!$K$6,IF(AND(总览!$H$6&lt;&gt;"",B10*100+VALUE(LEFT(C10,LEN(C10)-1))&gt;=总览!$H$6),总览!$I$6,IF(AND(总览!$F$6&lt;&gt;"",B10*100+VALUE(LEFT(C10,LEN(C10)-1))&gt;=总览!$F$6),总览!$G$6,IF(AND(总览!$D$6&lt;&gt;"",B10*100+VALUE(LEFT(C10,LEN(C10)-1))&gt;=总览!$D$6),总览!$E$6,总览!$B$6)))))</f>
        <v/>
      </c>
      <c r="E10" s="34">
        <f>IF(C10="12月",IF(AND(总览!$L$7&lt;&gt;"",B10*100+VALUE(LEFT(C10,LEN(C10)-1))&gt;=总览!$L$7),总览!$M$7,IF(AND(总览!$J$7&lt;&gt;"",B10*100+VALUE(LEFT(C10,LEN(C10)-1))&gt;=总览!$J$7),总览!$K$7,IF(AND(总览!$H$7&lt;&gt;"",B10*100+VALUE(LEFT(C10,LEN(C10)-1))&gt;=总览!$H$7),总览!$I$7,IF(AND(总览!$F$7&lt;&gt;"",B10*100+VALUE(LEFT(C10,LEN(C10)-1))&gt;=总览!$F$7),总览!$G$7,IF(AND(总览!$D$7&lt;&gt;"",B10*100+VALUE(LEFT(C10,LEN(C10)-1))&gt;=总览!$D$7),总览!$E$7,总览!$B$7))))),0)</f>
        <v/>
      </c>
      <c r="F10" s="34">
        <f>ROUND(O9*总览!$B$14/12,0)</f>
        <v/>
      </c>
      <c r="G10" s="34">
        <f>D10+E10+F10</f>
        <v/>
      </c>
      <c r="H10" s="34">
        <f>IF(OR(B10&gt;2027,AND(B10=2027,VALUE(LEFT(C10,LEN(C10)-1))&gt;=9)),IF(AND(总览!$L$10&lt;&gt;"",B10*100+VALUE(LEFT(C10,LEN(C10)-1))&gt;=总览!$L$10),总览!$M$10,IF(AND(总览!$J$10&lt;&gt;"",B10*100+VALUE(LEFT(C10,LEN(C10)-1))&gt;=总览!$J$10),总览!$K$10,IF(AND(总览!$H$10&lt;&gt;"",B10*100+VALUE(LEFT(C10,LEN(C10)-1))&gt;=总览!$H$10),总览!$I$10,IF(AND(总览!$F$10&lt;&gt;"",B10*100+VALUE(LEFT(C10,LEN(C10)-1))&gt;=总览!$F$10),总览!$G$10,IF(AND(总览!$D$10&lt;&gt;"",B10*100+VALUE(LEFT(C10,LEN(C10)-1))&gt;=总览!$D$10),总览!$E$10,总览!$B$10))))),IF(AND(总览!$L$9&lt;&gt;"",B10*100+VALUE(LEFT(C10,LEN(C10)-1))&gt;=总览!$L$9),总览!$M$9,IF(AND(总览!$J$9&lt;&gt;"",B10*100+VALUE(LEFT(C10,LEN(C10)-1))&gt;=总览!$J$9),总览!$K$9,IF(AND(总览!$H$9&lt;&gt;"",B10*100+VALUE(LEFT(C10,LEN(C10)-1))&gt;=总览!$H$9),总览!$I$9,IF(AND(总览!$F$9&lt;&gt;"",B10*100+VALUE(LEFT(C10,LEN(C10)-1))&gt;=总览!$F$9),总览!$G$9,IF(AND(总览!$D$9&lt;&gt;"",B10*100+VALUE(LEFT(C10,LEN(C10)-1))&gt;=总览!$D$9),总览!$E$9,总览!$B$9))))))</f>
        <v/>
      </c>
      <c r="I10" s="34">
        <f>IF(AND(总览!$L$11&lt;&gt;"",B10*100+VALUE(LEFT(C10,LEN(C10)-1))&gt;=总览!$L$11),总览!$M$11,IF(AND(总览!$J$11&lt;&gt;"",B10*100+VALUE(LEFT(C10,LEN(C10)-1))&gt;=总览!$J$11),总览!$K$11,IF(AND(总览!$H$11&lt;&gt;"",B10*100+VALUE(LEFT(C10,LEN(C10)-1))&gt;=总览!$H$11),总览!$I$11,IF(AND(总览!$F$11&lt;&gt;"",B10*100+VALUE(LEFT(C10,LEN(C10)-1))&gt;=总览!$F$11),总览!$G$11,IF(AND(总览!$D$11&lt;&gt;"",B10*100+VALUE(LEFT(C10,LEN(C10)-1))&gt;=总览!$D$11),总览!$E$11,总览!$B$11)))))</f>
        <v/>
      </c>
      <c r="J10" s="34">
        <f>IF(OR(B10&gt;2027,AND(B10=2027,VALUE(LEFT(C10,LEN(C10)-1))&gt;=9)),IF(AND(总览!$L$12&lt;&gt;"",B10*100+VALUE(LEFT(C10,LEN(C10)-1))&gt;=总览!$L$12),总览!$M$12,IF(AND(总览!$J$12&lt;&gt;"",B10*100+VALUE(LEFT(C10,LEN(C10)-1))&gt;=总览!$J$12),总览!$K$12,IF(AND(总览!$H$12&lt;&gt;"",B10*100+VALUE(LEFT(C10,LEN(C10)-1))&gt;=总览!$H$12),总览!$I$12,IF(AND(总览!$F$12&lt;&gt;"",B10*100+VALUE(LEFT(C10,LEN(C10)-1))&gt;=总览!$F$12),总览!$G$12,IF(AND(总览!$D$12&lt;&gt;"",B10*100+VALUE(LEFT(C10,LEN(C10)-1))&gt;=总览!$D$12),总览!$E$12,总览!$B$12))))),0)</f>
        <v/>
      </c>
      <c r="K10" s="34">
        <f>IF(AND(B10=2026,C10="5月"),120000,IF(AND(B10=2027,C10="9月"),30000,IF(C10="10月",IF(AND(总览!$L$13&lt;&gt;"",B10*100+VALUE(LEFT(C10,LEN(C10)-1))&gt;=总览!$L$13),总览!$M$13,IF(AND(总览!$J$13&lt;&gt;"",B10*100+VALUE(LEFT(C10,LEN(C10)-1))&gt;=总览!$J$13),总览!$K$13,IF(AND(总览!$H$13&lt;&gt;"",B10*100+VALUE(LEFT(C10,LEN(C10)-1))&gt;=总览!$H$13),总览!$I$13,IF(AND(总览!$F$13&lt;&gt;"",B10*100+VALUE(LEFT(C10,LEN(C10)-1))&gt;=总览!$F$13),总览!$G$13,IF(AND(总览!$D$13&lt;&gt;"",B10*100+VALUE(LEFT(C10,LEN(C10)-1))&gt;=总览!$D$13),总览!$E$13,总览!$B$13))))),0)))</f>
        <v/>
      </c>
      <c r="L10" s="33" t="inlineStr">
        <is>
          <t>年度旅游</t>
        </is>
      </c>
      <c r="M10" s="34">
        <f>SUM(H10:K10)</f>
        <v/>
      </c>
      <c r="N10" s="34">
        <f>G10-M10</f>
        <v/>
      </c>
      <c r="O10" s="34">
        <f>O9+N10</f>
        <v/>
      </c>
    </row>
    <row r="11">
      <c r="A11" s="31" t="n">
        <v>10</v>
      </c>
      <c r="B11" s="31" t="n">
        <v>2026</v>
      </c>
      <c r="C11" s="31" t="inlineStr">
        <is>
          <t>11月</t>
        </is>
      </c>
      <c r="D11" s="32">
        <f>IF(AND(总览!$L$6&lt;&gt;"",B11*100+VALUE(LEFT(C11,LEN(C11)-1))&gt;=总览!$L$6),总览!$M$6,IF(AND(总览!$J$6&lt;&gt;"",B11*100+VALUE(LEFT(C11,LEN(C11)-1))&gt;=总览!$J$6),总览!$K$6,IF(AND(总览!$H$6&lt;&gt;"",B11*100+VALUE(LEFT(C11,LEN(C11)-1))&gt;=总览!$H$6),总览!$I$6,IF(AND(总览!$F$6&lt;&gt;"",B11*100+VALUE(LEFT(C11,LEN(C11)-1))&gt;=总览!$F$6),总览!$G$6,IF(AND(总览!$D$6&lt;&gt;"",B11*100+VALUE(LEFT(C11,LEN(C11)-1))&gt;=总览!$D$6),总览!$E$6,总览!$B$6)))))</f>
        <v/>
      </c>
      <c r="E11" s="32">
        <f>IF(C11="12月",IF(AND(总览!$L$7&lt;&gt;"",B11*100+VALUE(LEFT(C11,LEN(C11)-1))&gt;=总览!$L$7),总览!$M$7,IF(AND(总览!$J$7&lt;&gt;"",B11*100+VALUE(LEFT(C11,LEN(C11)-1))&gt;=总览!$J$7),总览!$K$7,IF(AND(总览!$H$7&lt;&gt;"",B11*100+VALUE(LEFT(C11,LEN(C11)-1))&gt;=总览!$H$7),总览!$I$7,IF(AND(总览!$F$7&lt;&gt;"",B11*100+VALUE(LEFT(C11,LEN(C11)-1))&gt;=总览!$F$7),总览!$G$7,IF(AND(总览!$D$7&lt;&gt;"",B11*100+VALUE(LEFT(C11,LEN(C11)-1))&gt;=总览!$D$7),总览!$E$7,总览!$B$7))))),0)</f>
        <v/>
      </c>
      <c r="F11" s="32">
        <f>ROUND(O10*总览!$B$14/12,0)</f>
        <v/>
      </c>
      <c r="G11" s="32">
        <f>D11+E11+F11</f>
        <v/>
      </c>
      <c r="H11" s="32">
        <f>IF(OR(B11&gt;2027,AND(B11=2027,VALUE(LEFT(C11,LEN(C11)-1))&gt;=9)),IF(AND(总览!$L$10&lt;&gt;"",B11*100+VALUE(LEFT(C11,LEN(C11)-1))&gt;=总览!$L$10),总览!$M$10,IF(AND(总览!$J$10&lt;&gt;"",B11*100+VALUE(LEFT(C11,LEN(C11)-1))&gt;=总览!$J$10),总览!$K$10,IF(AND(总览!$H$10&lt;&gt;"",B11*100+VALUE(LEFT(C11,LEN(C11)-1))&gt;=总览!$H$10),总览!$I$10,IF(AND(总览!$F$10&lt;&gt;"",B11*100+VALUE(LEFT(C11,LEN(C11)-1))&gt;=总览!$F$10),总览!$G$10,IF(AND(总览!$D$10&lt;&gt;"",B11*100+VALUE(LEFT(C11,LEN(C11)-1))&gt;=总览!$D$10),总览!$E$10,总览!$B$10))))),IF(AND(总览!$L$9&lt;&gt;"",B11*100+VALUE(LEFT(C11,LEN(C11)-1))&gt;=总览!$L$9),总览!$M$9,IF(AND(总览!$J$9&lt;&gt;"",B11*100+VALUE(LEFT(C11,LEN(C11)-1))&gt;=总览!$J$9),总览!$K$9,IF(AND(总览!$H$9&lt;&gt;"",B11*100+VALUE(LEFT(C11,LEN(C11)-1))&gt;=总览!$H$9),总览!$I$9,IF(AND(总览!$F$9&lt;&gt;"",B11*100+VALUE(LEFT(C11,LEN(C11)-1))&gt;=总览!$F$9),总览!$G$9,IF(AND(总览!$D$9&lt;&gt;"",B11*100+VALUE(LEFT(C11,LEN(C11)-1))&gt;=总览!$D$9),总览!$E$9,总览!$B$9))))))</f>
        <v/>
      </c>
      <c r="I11" s="32">
        <f>IF(AND(总览!$L$11&lt;&gt;"",B11*100+VALUE(LEFT(C11,LEN(C11)-1))&gt;=总览!$L$11),总览!$M$11,IF(AND(总览!$J$11&lt;&gt;"",B11*100+VALUE(LEFT(C11,LEN(C11)-1))&gt;=总览!$J$11),总览!$K$11,IF(AND(总览!$H$11&lt;&gt;"",B11*100+VALUE(LEFT(C11,LEN(C11)-1))&gt;=总览!$H$11),总览!$I$11,IF(AND(总览!$F$11&lt;&gt;"",B11*100+VALUE(LEFT(C11,LEN(C11)-1))&gt;=总览!$F$11),总览!$G$11,IF(AND(总览!$D$11&lt;&gt;"",B11*100+VALUE(LEFT(C11,LEN(C11)-1))&gt;=总览!$D$11),总览!$E$11,总览!$B$11)))))</f>
        <v/>
      </c>
      <c r="J11" s="32">
        <f>IF(OR(B11&gt;2027,AND(B11=2027,VALUE(LEFT(C11,LEN(C11)-1))&gt;=9)),IF(AND(总览!$L$12&lt;&gt;"",B11*100+VALUE(LEFT(C11,LEN(C11)-1))&gt;=总览!$L$12),总览!$M$12,IF(AND(总览!$J$12&lt;&gt;"",B11*100+VALUE(LEFT(C11,LEN(C11)-1))&gt;=总览!$J$12),总览!$K$12,IF(AND(总览!$H$12&lt;&gt;"",B11*100+VALUE(LEFT(C11,LEN(C11)-1))&gt;=总览!$H$12),总览!$I$12,IF(AND(总览!$F$12&lt;&gt;"",B11*100+VALUE(LEFT(C11,LEN(C11)-1))&gt;=总览!$F$12),总览!$G$12,IF(AND(总览!$D$12&lt;&gt;"",B11*100+VALUE(LEFT(C11,LEN(C11)-1))&gt;=总览!$D$12),总览!$E$12,总览!$B$12))))),0)</f>
        <v/>
      </c>
      <c r="K11" s="32">
        <f>IF(AND(B11=2026,C11="5月"),120000,IF(AND(B11=2027,C11="9月"),30000,IF(C11="10月",IF(AND(总览!$L$13&lt;&gt;"",B11*100+VALUE(LEFT(C11,LEN(C11)-1))&gt;=总览!$L$13),总览!$M$13,IF(AND(总览!$J$13&lt;&gt;"",B11*100+VALUE(LEFT(C11,LEN(C11)-1))&gt;=总览!$J$13),总览!$K$13,IF(AND(总览!$H$13&lt;&gt;"",B11*100+VALUE(LEFT(C11,LEN(C11)-1))&gt;=总览!$H$13),总览!$I$13,IF(AND(总览!$F$13&lt;&gt;"",B11*100+VALUE(LEFT(C11,LEN(C11)-1))&gt;=总览!$F$13),总览!$G$13,IF(AND(总览!$D$13&lt;&gt;"",B11*100+VALUE(LEFT(C11,LEN(C11)-1))&gt;=总览!$D$13),总览!$E$13,总览!$B$13))))),0)))</f>
        <v/>
      </c>
      <c r="L11" s="31" t="inlineStr"/>
      <c r="M11" s="32">
        <f>SUM(H11:K11)</f>
        <v/>
      </c>
      <c r="N11" s="32">
        <f>G11-M11</f>
        <v/>
      </c>
      <c r="O11" s="32">
        <f>O10+N11</f>
        <v/>
      </c>
    </row>
    <row r="12">
      <c r="A12" s="35" t="n">
        <v>11</v>
      </c>
      <c r="B12" s="35" t="n">
        <v>2026</v>
      </c>
      <c r="C12" s="35" t="inlineStr">
        <is>
          <t>12月</t>
        </is>
      </c>
      <c r="D12" s="36">
        <f>IF(AND(总览!$L$6&lt;&gt;"",B12*100+VALUE(LEFT(C12,LEN(C12)-1))&gt;=总览!$L$6),总览!$M$6,IF(AND(总览!$J$6&lt;&gt;"",B12*100+VALUE(LEFT(C12,LEN(C12)-1))&gt;=总览!$J$6),总览!$K$6,IF(AND(总览!$H$6&lt;&gt;"",B12*100+VALUE(LEFT(C12,LEN(C12)-1))&gt;=总览!$H$6),总览!$I$6,IF(AND(总览!$F$6&lt;&gt;"",B12*100+VALUE(LEFT(C12,LEN(C12)-1))&gt;=总览!$F$6),总览!$G$6,IF(AND(总览!$D$6&lt;&gt;"",B12*100+VALUE(LEFT(C12,LEN(C12)-1))&gt;=总览!$D$6),总览!$E$6,总览!$B$6)))))</f>
        <v/>
      </c>
      <c r="E12" s="36">
        <f>IF(C12="12月",IF(AND(总览!$L$7&lt;&gt;"",B12*100+VALUE(LEFT(C12,LEN(C12)-1))&gt;=总览!$L$7),总览!$M$7,IF(AND(总览!$J$7&lt;&gt;"",B12*100+VALUE(LEFT(C12,LEN(C12)-1))&gt;=总览!$J$7),总览!$K$7,IF(AND(总览!$H$7&lt;&gt;"",B12*100+VALUE(LEFT(C12,LEN(C12)-1))&gt;=总览!$H$7),总览!$I$7,IF(AND(总览!$F$7&lt;&gt;"",B12*100+VALUE(LEFT(C12,LEN(C12)-1))&gt;=总览!$F$7),总览!$G$7,IF(AND(总览!$D$7&lt;&gt;"",B12*100+VALUE(LEFT(C12,LEN(C12)-1))&gt;=总览!$D$7),总览!$E$7,总览!$B$7))))),0)</f>
        <v/>
      </c>
      <c r="F12" s="36">
        <f>ROUND(O11*总览!$B$14/12,0)</f>
        <v/>
      </c>
      <c r="G12" s="36">
        <f>D12+E12+F12</f>
        <v/>
      </c>
      <c r="H12" s="36">
        <f>IF(OR(B12&gt;2027,AND(B12=2027,VALUE(LEFT(C12,LEN(C12)-1))&gt;=9)),IF(AND(总览!$L$10&lt;&gt;"",B12*100+VALUE(LEFT(C12,LEN(C12)-1))&gt;=总览!$L$10),总览!$M$10,IF(AND(总览!$J$10&lt;&gt;"",B12*100+VALUE(LEFT(C12,LEN(C12)-1))&gt;=总览!$J$10),总览!$K$10,IF(AND(总览!$H$10&lt;&gt;"",B12*100+VALUE(LEFT(C12,LEN(C12)-1))&gt;=总览!$H$10),总览!$I$10,IF(AND(总览!$F$10&lt;&gt;"",B12*100+VALUE(LEFT(C12,LEN(C12)-1))&gt;=总览!$F$10),总览!$G$10,IF(AND(总览!$D$10&lt;&gt;"",B12*100+VALUE(LEFT(C12,LEN(C12)-1))&gt;=总览!$D$10),总览!$E$10,总览!$B$10))))),IF(AND(总览!$L$9&lt;&gt;"",B12*100+VALUE(LEFT(C12,LEN(C12)-1))&gt;=总览!$L$9),总览!$M$9,IF(AND(总览!$J$9&lt;&gt;"",B12*100+VALUE(LEFT(C12,LEN(C12)-1))&gt;=总览!$J$9),总览!$K$9,IF(AND(总览!$H$9&lt;&gt;"",B12*100+VALUE(LEFT(C12,LEN(C12)-1))&gt;=总览!$H$9),总览!$I$9,IF(AND(总览!$F$9&lt;&gt;"",B12*100+VALUE(LEFT(C12,LEN(C12)-1))&gt;=总览!$F$9),总览!$G$9,IF(AND(总览!$D$9&lt;&gt;"",B12*100+VALUE(LEFT(C12,LEN(C12)-1))&gt;=总览!$D$9),总览!$E$9,总览!$B$9))))))</f>
        <v/>
      </c>
      <c r="I12" s="36">
        <f>IF(AND(总览!$L$11&lt;&gt;"",B12*100+VALUE(LEFT(C12,LEN(C12)-1))&gt;=总览!$L$11),总览!$M$11,IF(AND(总览!$J$11&lt;&gt;"",B12*100+VALUE(LEFT(C12,LEN(C12)-1))&gt;=总览!$J$11),总览!$K$11,IF(AND(总览!$H$11&lt;&gt;"",B12*100+VALUE(LEFT(C12,LEN(C12)-1))&gt;=总览!$H$11),总览!$I$11,IF(AND(总览!$F$11&lt;&gt;"",B12*100+VALUE(LEFT(C12,LEN(C12)-1))&gt;=总览!$F$11),总览!$G$11,IF(AND(总览!$D$11&lt;&gt;"",B12*100+VALUE(LEFT(C12,LEN(C12)-1))&gt;=总览!$D$11),总览!$E$11,总览!$B$11)))))</f>
        <v/>
      </c>
      <c r="J12" s="36">
        <f>IF(OR(B12&gt;2027,AND(B12=2027,VALUE(LEFT(C12,LEN(C12)-1))&gt;=9)),IF(AND(总览!$L$12&lt;&gt;"",B12*100+VALUE(LEFT(C12,LEN(C12)-1))&gt;=总览!$L$12),总览!$M$12,IF(AND(总览!$J$12&lt;&gt;"",B12*100+VALUE(LEFT(C12,LEN(C12)-1))&gt;=总览!$J$12),总览!$K$12,IF(AND(总览!$H$12&lt;&gt;"",B12*100+VALUE(LEFT(C12,LEN(C12)-1))&gt;=总览!$H$12),总览!$I$12,IF(AND(总览!$F$12&lt;&gt;"",B12*100+VALUE(LEFT(C12,LEN(C12)-1))&gt;=总览!$F$12),总览!$G$12,IF(AND(总览!$D$12&lt;&gt;"",B12*100+VALUE(LEFT(C12,LEN(C12)-1))&gt;=总览!$D$12),总览!$E$12,总览!$B$12))))),0)</f>
        <v/>
      </c>
      <c r="K12" s="36">
        <f>IF(AND(B12=2026,C12="5月"),120000,IF(AND(B12=2027,C12="9月"),30000,IF(C12="10月",IF(AND(总览!$L$13&lt;&gt;"",B12*100+VALUE(LEFT(C12,LEN(C12)-1))&gt;=总览!$L$13),总览!$M$13,IF(AND(总览!$J$13&lt;&gt;"",B12*100+VALUE(LEFT(C12,LEN(C12)-1))&gt;=总览!$J$13),总览!$K$13,IF(AND(总览!$H$13&lt;&gt;"",B12*100+VALUE(LEFT(C12,LEN(C12)-1))&gt;=总览!$H$13),总览!$I$13,IF(AND(总览!$F$13&lt;&gt;"",B12*100+VALUE(LEFT(C12,LEN(C12)-1))&gt;=总览!$F$13),总览!$G$13,IF(AND(总览!$D$13&lt;&gt;"",B12*100+VALUE(LEFT(C12,LEN(C12)-1))&gt;=总览!$D$13),总览!$E$13,总览!$B$13))))),0)))</f>
        <v/>
      </c>
      <c r="L12" s="35" t="inlineStr"/>
      <c r="M12" s="36">
        <f>SUM(H12:K12)</f>
        <v/>
      </c>
      <c r="N12" s="36">
        <f>G12-M12</f>
        <v/>
      </c>
      <c r="O12" s="36">
        <f>O11+N12</f>
        <v/>
      </c>
    </row>
    <row r="13">
      <c r="A13" s="31" t="n">
        <v>12</v>
      </c>
      <c r="B13" s="31" t="n">
        <v>2027</v>
      </c>
      <c r="C13" s="31" t="inlineStr">
        <is>
          <t>1月</t>
        </is>
      </c>
      <c r="D13" s="32">
        <f>IF(AND(总览!$L$6&lt;&gt;"",B13*100+VALUE(LEFT(C13,LEN(C13)-1))&gt;=总览!$L$6),总览!$M$6,IF(AND(总览!$J$6&lt;&gt;"",B13*100+VALUE(LEFT(C13,LEN(C13)-1))&gt;=总览!$J$6),总览!$K$6,IF(AND(总览!$H$6&lt;&gt;"",B13*100+VALUE(LEFT(C13,LEN(C13)-1))&gt;=总览!$H$6),总览!$I$6,IF(AND(总览!$F$6&lt;&gt;"",B13*100+VALUE(LEFT(C13,LEN(C13)-1))&gt;=总览!$F$6),总览!$G$6,IF(AND(总览!$D$6&lt;&gt;"",B13*100+VALUE(LEFT(C13,LEN(C13)-1))&gt;=总览!$D$6),总览!$E$6,总览!$B$6)))))</f>
        <v/>
      </c>
      <c r="E13" s="32">
        <f>IF(C13="12月",IF(AND(总览!$L$7&lt;&gt;"",B13*100+VALUE(LEFT(C13,LEN(C13)-1))&gt;=总览!$L$7),总览!$M$7,IF(AND(总览!$J$7&lt;&gt;"",B13*100+VALUE(LEFT(C13,LEN(C13)-1))&gt;=总览!$J$7),总览!$K$7,IF(AND(总览!$H$7&lt;&gt;"",B13*100+VALUE(LEFT(C13,LEN(C13)-1))&gt;=总览!$H$7),总览!$I$7,IF(AND(总览!$F$7&lt;&gt;"",B13*100+VALUE(LEFT(C13,LEN(C13)-1))&gt;=总览!$F$7),总览!$G$7,IF(AND(总览!$D$7&lt;&gt;"",B13*100+VALUE(LEFT(C13,LEN(C13)-1))&gt;=总览!$D$7),总览!$E$7,总览!$B$7))))),0)</f>
        <v/>
      </c>
      <c r="F13" s="32">
        <f>ROUND(O12*总览!$B$14/12,0)</f>
        <v/>
      </c>
      <c r="G13" s="32">
        <f>D13+E13+F13</f>
        <v/>
      </c>
      <c r="H13" s="32">
        <f>IF(OR(B13&gt;2027,AND(B13=2027,VALUE(LEFT(C13,LEN(C13)-1))&gt;=9)),IF(AND(总览!$L$10&lt;&gt;"",B13*100+VALUE(LEFT(C13,LEN(C13)-1))&gt;=总览!$L$10),总览!$M$10,IF(AND(总览!$J$10&lt;&gt;"",B13*100+VALUE(LEFT(C13,LEN(C13)-1))&gt;=总览!$J$10),总览!$K$10,IF(AND(总览!$H$10&lt;&gt;"",B13*100+VALUE(LEFT(C13,LEN(C13)-1))&gt;=总览!$H$10),总览!$I$10,IF(AND(总览!$F$10&lt;&gt;"",B13*100+VALUE(LEFT(C13,LEN(C13)-1))&gt;=总览!$F$10),总览!$G$10,IF(AND(总览!$D$10&lt;&gt;"",B13*100+VALUE(LEFT(C13,LEN(C13)-1))&gt;=总览!$D$10),总览!$E$10,总览!$B$10))))),IF(AND(总览!$L$9&lt;&gt;"",B13*100+VALUE(LEFT(C13,LEN(C13)-1))&gt;=总览!$L$9),总览!$M$9,IF(AND(总览!$J$9&lt;&gt;"",B13*100+VALUE(LEFT(C13,LEN(C13)-1))&gt;=总览!$J$9),总览!$K$9,IF(AND(总览!$H$9&lt;&gt;"",B13*100+VALUE(LEFT(C13,LEN(C13)-1))&gt;=总览!$H$9),总览!$I$9,IF(AND(总览!$F$9&lt;&gt;"",B13*100+VALUE(LEFT(C13,LEN(C13)-1))&gt;=总览!$F$9),总览!$G$9,IF(AND(总览!$D$9&lt;&gt;"",B13*100+VALUE(LEFT(C13,LEN(C13)-1))&gt;=总览!$D$9),总览!$E$9,总览!$B$9))))))</f>
        <v/>
      </c>
      <c r="I13" s="32">
        <f>IF(AND(总览!$L$11&lt;&gt;"",B13*100+VALUE(LEFT(C13,LEN(C13)-1))&gt;=总览!$L$11),总览!$M$11,IF(AND(总览!$J$11&lt;&gt;"",B13*100+VALUE(LEFT(C13,LEN(C13)-1))&gt;=总览!$J$11),总览!$K$11,IF(AND(总览!$H$11&lt;&gt;"",B13*100+VALUE(LEFT(C13,LEN(C13)-1))&gt;=总览!$H$11),总览!$I$11,IF(AND(总览!$F$11&lt;&gt;"",B13*100+VALUE(LEFT(C13,LEN(C13)-1))&gt;=总览!$F$11),总览!$G$11,IF(AND(总览!$D$11&lt;&gt;"",B13*100+VALUE(LEFT(C13,LEN(C13)-1))&gt;=总览!$D$11),总览!$E$11,总览!$B$11)))))</f>
        <v/>
      </c>
      <c r="J13" s="32">
        <f>IF(OR(B13&gt;2027,AND(B13=2027,VALUE(LEFT(C13,LEN(C13)-1))&gt;=9)),IF(AND(总览!$L$12&lt;&gt;"",B13*100+VALUE(LEFT(C13,LEN(C13)-1))&gt;=总览!$L$12),总览!$M$12,IF(AND(总览!$J$12&lt;&gt;"",B13*100+VALUE(LEFT(C13,LEN(C13)-1))&gt;=总览!$J$12),总览!$K$12,IF(AND(总览!$H$12&lt;&gt;"",B13*100+VALUE(LEFT(C13,LEN(C13)-1))&gt;=总览!$H$12),总览!$I$12,IF(AND(总览!$F$12&lt;&gt;"",B13*100+VALUE(LEFT(C13,LEN(C13)-1))&gt;=总览!$F$12),总览!$G$12,IF(AND(总览!$D$12&lt;&gt;"",B13*100+VALUE(LEFT(C13,LEN(C13)-1))&gt;=总览!$D$12),总览!$E$12,总览!$B$12))))),0)</f>
        <v/>
      </c>
      <c r="K13" s="32">
        <f>IF(AND(B13=2026,C13="5月"),120000,IF(AND(B13=2027,C13="9月"),30000,IF(C13="10月",IF(AND(总览!$L$13&lt;&gt;"",B13*100+VALUE(LEFT(C13,LEN(C13)-1))&gt;=总览!$L$13),总览!$M$13,IF(AND(总览!$J$13&lt;&gt;"",B13*100+VALUE(LEFT(C13,LEN(C13)-1))&gt;=总览!$J$13),总览!$K$13,IF(AND(总览!$H$13&lt;&gt;"",B13*100+VALUE(LEFT(C13,LEN(C13)-1))&gt;=总览!$H$13),总览!$I$13,IF(AND(总览!$F$13&lt;&gt;"",B13*100+VALUE(LEFT(C13,LEN(C13)-1))&gt;=总览!$F$13),总览!$G$13,IF(AND(总览!$D$13&lt;&gt;"",B13*100+VALUE(LEFT(C13,LEN(C13)-1))&gt;=总览!$D$13),总览!$E$13,总览!$B$13))))),0)))</f>
        <v/>
      </c>
      <c r="L13" s="31" t="inlineStr"/>
      <c r="M13" s="32">
        <f>SUM(H13:K13)</f>
        <v/>
      </c>
      <c r="N13" s="32">
        <f>G13-M13</f>
        <v/>
      </c>
      <c r="O13" s="32">
        <f>O12+N13</f>
        <v/>
      </c>
    </row>
    <row r="14">
      <c r="A14" s="30" t="n">
        <v>13</v>
      </c>
      <c r="B14" s="30" t="n">
        <v>2027</v>
      </c>
      <c r="C14" s="30" t="inlineStr">
        <is>
          <t>2月</t>
        </is>
      </c>
      <c r="D14" s="11">
        <f>IF(AND(总览!$L$6&lt;&gt;"",B14*100+VALUE(LEFT(C14,LEN(C14)-1))&gt;=总览!$L$6),总览!$M$6,IF(AND(总览!$J$6&lt;&gt;"",B14*100+VALUE(LEFT(C14,LEN(C14)-1))&gt;=总览!$J$6),总览!$K$6,IF(AND(总览!$H$6&lt;&gt;"",B14*100+VALUE(LEFT(C14,LEN(C14)-1))&gt;=总览!$H$6),总览!$I$6,IF(AND(总览!$F$6&lt;&gt;"",B14*100+VALUE(LEFT(C14,LEN(C14)-1))&gt;=总览!$F$6),总览!$G$6,IF(AND(总览!$D$6&lt;&gt;"",B14*100+VALUE(LEFT(C14,LEN(C14)-1))&gt;=总览!$D$6),总览!$E$6,总览!$B$6)))))</f>
        <v/>
      </c>
      <c r="E14" s="11">
        <f>IF(C14="12月",IF(AND(总览!$L$7&lt;&gt;"",B14*100+VALUE(LEFT(C14,LEN(C14)-1))&gt;=总览!$L$7),总览!$M$7,IF(AND(总览!$J$7&lt;&gt;"",B14*100+VALUE(LEFT(C14,LEN(C14)-1))&gt;=总览!$J$7),总览!$K$7,IF(AND(总览!$H$7&lt;&gt;"",B14*100+VALUE(LEFT(C14,LEN(C14)-1))&gt;=总览!$H$7),总览!$I$7,IF(AND(总览!$F$7&lt;&gt;"",B14*100+VALUE(LEFT(C14,LEN(C14)-1))&gt;=总览!$F$7),总览!$G$7,IF(AND(总览!$D$7&lt;&gt;"",B14*100+VALUE(LEFT(C14,LEN(C14)-1))&gt;=总览!$D$7),总览!$E$7,总览!$B$7))))),0)</f>
        <v/>
      </c>
      <c r="F14" s="11">
        <f>ROUND(O13*总览!$B$14/12,0)</f>
        <v/>
      </c>
      <c r="G14" s="11">
        <f>D14+E14+F14</f>
        <v/>
      </c>
      <c r="H14" s="11">
        <f>IF(OR(B14&gt;2027,AND(B14=2027,VALUE(LEFT(C14,LEN(C14)-1))&gt;=9)),IF(AND(总览!$L$10&lt;&gt;"",B14*100+VALUE(LEFT(C14,LEN(C14)-1))&gt;=总览!$L$10),总览!$M$10,IF(AND(总览!$J$10&lt;&gt;"",B14*100+VALUE(LEFT(C14,LEN(C14)-1))&gt;=总览!$J$10),总览!$K$10,IF(AND(总览!$H$10&lt;&gt;"",B14*100+VALUE(LEFT(C14,LEN(C14)-1))&gt;=总览!$H$10),总览!$I$10,IF(AND(总览!$F$10&lt;&gt;"",B14*100+VALUE(LEFT(C14,LEN(C14)-1))&gt;=总览!$F$10),总览!$G$10,IF(AND(总览!$D$10&lt;&gt;"",B14*100+VALUE(LEFT(C14,LEN(C14)-1))&gt;=总览!$D$10),总览!$E$10,总览!$B$10))))),IF(AND(总览!$L$9&lt;&gt;"",B14*100+VALUE(LEFT(C14,LEN(C14)-1))&gt;=总览!$L$9),总览!$M$9,IF(AND(总览!$J$9&lt;&gt;"",B14*100+VALUE(LEFT(C14,LEN(C14)-1))&gt;=总览!$J$9),总览!$K$9,IF(AND(总览!$H$9&lt;&gt;"",B14*100+VALUE(LEFT(C14,LEN(C14)-1))&gt;=总览!$H$9),总览!$I$9,IF(AND(总览!$F$9&lt;&gt;"",B14*100+VALUE(LEFT(C14,LEN(C14)-1))&gt;=总览!$F$9),总览!$G$9,IF(AND(总览!$D$9&lt;&gt;"",B14*100+VALUE(LEFT(C14,LEN(C14)-1))&gt;=总览!$D$9),总览!$E$9,总览!$B$9))))))</f>
        <v/>
      </c>
      <c r="I14" s="11">
        <f>IF(AND(总览!$L$11&lt;&gt;"",B14*100+VALUE(LEFT(C14,LEN(C14)-1))&gt;=总览!$L$11),总览!$M$11,IF(AND(总览!$J$11&lt;&gt;"",B14*100+VALUE(LEFT(C14,LEN(C14)-1))&gt;=总览!$J$11),总览!$K$11,IF(AND(总览!$H$11&lt;&gt;"",B14*100+VALUE(LEFT(C14,LEN(C14)-1))&gt;=总览!$H$11),总览!$I$11,IF(AND(总览!$F$11&lt;&gt;"",B14*100+VALUE(LEFT(C14,LEN(C14)-1))&gt;=总览!$F$11),总览!$G$11,IF(AND(总览!$D$11&lt;&gt;"",B14*100+VALUE(LEFT(C14,LEN(C14)-1))&gt;=总览!$D$11),总览!$E$11,总览!$B$11)))))</f>
        <v/>
      </c>
      <c r="J14" s="11">
        <f>IF(OR(B14&gt;2027,AND(B14=2027,VALUE(LEFT(C14,LEN(C14)-1))&gt;=9)),IF(AND(总览!$L$12&lt;&gt;"",B14*100+VALUE(LEFT(C14,LEN(C14)-1))&gt;=总览!$L$12),总览!$M$12,IF(AND(总览!$J$12&lt;&gt;"",B14*100+VALUE(LEFT(C14,LEN(C14)-1))&gt;=总览!$J$12),总览!$K$12,IF(AND(总览!$H$12&lt;&gt;"",B14*100+VALUE(LEFT(C14,LEN(C14)-1))&gt;=总览!$H$12),总览!$I$12,IF(AND(总览!$F$12&lt;&gt;"",B14*100+VALUE(LEFT(C14,LEN(C14)-1))&gt;=总览!$F$12),总览!$G$12,IF(AND(总览!$D$12&lt;&gt;"",B14*100+VALUE(LEFT(C14,LEN(C14)-1))&gt;=总览!$D$12),总览!$E$12,总览!$B$12))))),0)</f>
        <v/>
      </c>
      <c r="K14" s="11">
        <f>IF(AND(B14=2026,C14="5月"),120000,IF(AND(B14=2027,C14="9月"),30000,IF(C14="10月",IF(AND(总览!$L$13&lt;&gt;"",B14*100+VALUE(LEFT(C14,LEN(C14)-1))&gt;=总览!$L$13),总览!$M$13,IF(AND(总览!$J$13&lt;&gt;"",B14*100+VALUE(LEFT(C14,LEN(C14)-1))&gt;=总览!$J$13),总览!$K$13,IF(AND(总览!$H$13&lt;&gt;"",B14*100+VALUE(LEFT(C14,LEN(C14)-1))&gt;=总览!$H$13),总览!$I$13,IF(AND(总览!$F$13&lt;&gt;"",B14*100+VALUE(LEFT(C14,LEN(C14)-1))&gt;=总览!$F$13),总览!$G$13,IF(AND(总览!$D$13&lt;&gt;"",B14*100+VALUE(LEFT(C14,LEN(C14)-1))&gt;=总览!$D$13),总览!$E$13,总览!$B$13))))),0)))</f>
        <v/>
      </c>
      <c r="L14" s="30" t="inlineStr"/>
      <c r="M14" s="11">
        <f>SUM(H14:K14)</f>
        <v/>
      </c>
      <c r="N14" s="11">
        <f>G14-M14</f>
        <v/>
      </c>
      <c r="O14" s="11">
        <f>O13+N14</f>
        <v/>
      </c>
    </row>
    <row r="15">
      <c r="A15" s="31" t="n">
        <v>14</v>
      </c>
      <c r="B15" s="31" t="n">
        <v>2027</v>
      </c>
      <c r="C15" s="31" t="inlineStr">
        <is>
          <t>3月</t>
        </is>
      </c>
      <c r="D15" s="32">
        <f>IF(AND(总览!$L$6&lt;&gt;"",B15*100+VALUE(LEFT(C15,LEN(C15)-1))&gt;=总览!$L$6),总览!$M$6,IF(AND(总览!$J$6&lt;&gt;"",B15*100+VALUE(LEFT(C15,LEN(C15)-1))&gt;=总览!$J$6),总览!$K$6,IF(AND(总览!$H$6&lt;&gt;"",B15*100+VALUE(LEFT(C15,LEN(C15)-1))&gt;=总览!$H$6),总览!$I$6,IF(AND(总览!$F$6&lt;&gt;"",B15*100+VALUE(LEFT(C15,LEN(C15)-1))&gt;=总览!$F$6),总览!$G$6,IF(AND(总览!$D$6&lt;&gt;"",B15*100+VALUE(LEFT(C15,LEN(C15)-1))&gt;=总览!$D$6),总览!$E$6,总览!$B$6)))))</f>
        <v/>
      </c>
      <c r="E15" s="32">
        <f>IF(C15="12月",IF(AND(总览!$L$7&lt;&gt;"",B15*100+VALUE(LEFT(C15,LEN(C15)-1))&gt;=总览!$L$7),总览!$M$7,IF(AND(总览!$J$7&lt;&gt;"",B15*100+VALUE(LEFT(C15,LEN(C15)-1))&gt;=总览!$J$7),总览!$K$7,IF(AND(总览!$H$7&lt;&gt;"",B15*100+VALUE(LEFT(C15,LEN(C15)-1))&gt;=总览!$H$7),总览!$I$7,IF(AND(总览!$F$7&lt;&gt;"",B15*100+VALUE(LEFT(C15,LEN(C15)-1))&gt;=总览!$F$7),总览!$G$7,IF(AND(总览!$D$7&lt;&gt;"",B15*100+VALUE(LEFT(C15,LEN(C15)-1))&gt;=总览!$D$7),总览!$E$7,总览!$B$7))))),0)</f>
        <v/>
      </c>
      <c r="F15" s="32">
        <f>ROUND(O14*总览!$B$14/12,0)</f>
        <v/>
      </c>
      <c r="G15" s="32">
        <f>D15+E15+F15</f>
        <v/>
      </c>
      <c r="H15" s="32">
        <f>IF(OR(B15&gt;2027,AND(B15=2027,VALUE(LEFT(C15,LEN(C15)-1))&gt;=9)),IF(AND(总览!$L$10&lt;&gt;"",B15*100+VALUE(LEFT(C15,LEN(C15)-1))&gt;=总览!$L$10),总览!$M$10,IF(AND(总览!$J$10&lt;&gt;"",B15*100+VALUE(LEFT(C15,LEN(C15)-1))&gt;=总览!$J$10),总览!$K$10,IF(AND(总览!$H$10&lt;&gt;"",B15*100+VALUE(LEFT(C15,LEN(C15)-1))&gt;=总览!$H$10),总览!$I$10,IF(AND(总览!$F$10&lt;&gt;"",B15*100+VALUE(LEFT(C15,LEN(C15)-1))&gt;=总览!$F$10),总览!$G$10,IF(AND(总览!$D$10&lt;&gt;"",B15*100+VALUE(LEFT(C15,LEN(C15)-1))&gt;=总览!$D$10),总览!$E$10,总览!$B$10))))),IF(AND(总览!$L$9&lt;&gt;"",B15*100+VALUE(LEFT(C15,LEN(C15)-1))&gt;=总览!$L$9),总览!$M$9,IF(AND(总览!$J$9&lt;&gt;"",B15*100+VALUE(LEFT(C15,LEN(C15)-1))&gt;=总览!$J$9),总览!$K$9,IF(AND(总览!$H$9&lt;&gt;"",B15*100+VALUE(LEFT(C15,LEN(C15)-1))&gt;=总览!$H$9),总览!$I$9,IF(AND(总览!$F$9&lt;&gt;"",B15*100+VALUE(LEFT(C15,LEN(C15)-1))&gt;=总览!$F$9),总览!$G$9,IF(AND(总览!$D$9&lt;&gt;"",B15*100+VALUE(LEFT(C15,LEN(C15)-1))&gt;=总览!$D$9),总览!$E$9,总览!$B$9))))))</f>
        <v/>
      </c>
      <c r="I15" s="32">
        <f>IF(AND(总览!$L$11&lt;&gt;"",B15*100+VALUE(LEFT(C15,LEN(C15)-1))&gt;=总览!$L$11),总览!$M$11,IF(AND(总览!$J$11&lt;&gt;"",B15*100+VALUE(LEFT(C15,LEN(C15)-1))&gt;=总览!$J$11),总览!$K$11,IF(AND(总览!$H$11&lt;&gt;"",B15*100+VALUE(LEFT(C15,LEN(C15)-1))&gt;=总览!$H$11),总览!$I$11,IF(AND(总览!$F$11&lt;&gt;"",B15*100+VALUE(LEFT(C15,LEN(C15)-1))&gt;=总览!$F$11),总览!$G$11,IF(AND(总览!$D$11&lt;&gt;"",B15*100+VALUE(LEFT(C15,LEN(C15)-1))&gt;=总览!$D$11),总览!$E$11,总览!$B$11)))))</f>
        <v/>
      </c>
      <c r="J15" s="32">
        <f>IF(OR(B15&gt;2027,AND(B15=2027,VALUE(LEFT(C15,LEN(C15)-1))&gt;=9)),IF(AND(总览!$L$12&lt;&gt;"",B15*100+VALUE(LEFT(C15,LEN(C15)-1))&gt;=总览!$L$12),总览!$M$12,IF(AND(总览!$J$12&lt;&gt;"",B15*100+VALUE(LEFT(C15,LEN(C15)-1))&gt;=总览!$J$12),总览!$K$12,IF(AND(总览!$H$12&lt;&gt;"",B15*100+VALUE(LEFT(C15,LEN(C15)-1))&gt;=总览!$H$12),总览!$I$12,IF(AND(总览!$F$12&lt;&gt;"",B15*100+VALUE(LEFT(C15,LEN(C15)-1))&gt;=总览!$F$12),总览!$G$12,IF(AND(总览!$D$12&lt;&gt;"",B15*100+VALUE(LEFT(C15,LEN(C15)-1))&gt;=总览!$D$12),总览!$E$12,总览!$B$12))))),0)</f>
        <v/>
      </c>
      <c r="K15" s="32">
        <f>IF(AND(B15=2026,C15="5月"),120000,IF(AND(B15=2027,C15="9月"),30000,IF(C15="10月",IF(AND(总览!$L$13&lt;&gt;"",B15*100+VALUE(LEFT(C15,LEN(C15)-1))&gt;=总览!$L$13),总览!$M$13,IF(AND(总览!$J$13&lt;&gt;"",B15*100+VALUE(LEFT(C15,LEN(C15)-1))&gt;=总览!$J$13),总览!$K$13,IF(AND(总览!$H$13&lt;&gt;"",B15*100+VALUE(LEFT(C15,LEN(C15)-1))&gt;=总览!$H$13),总览!$I$13,IF(AND(总览!$F$13&lt;&gt;"",B15*100+VALUE(LEFT(C15,LEN(C15)-1))&gt;=总览!$F$13),总览!$G$13,IF(AND(总览!$D$13&lt;&gt;"",B15*100+VALUE(LEFT(C15,LEN(C15)-1))&gt;=总览!$D$13),总览!$E$13,总览!$B$13))))),0)))</f>
        <v/>
      </c>
      <c r="L15" s="31" t="inlineStr"/>
      <c r="M15" s="32">
        <f>SUM(H15:K15)</f>
        <v/>
      </c>
      <c r="N15" s="32">
        <f>G15-M15</f>
        <v/>
      </c>
      <c r="O15" s="32">
        <f>O14+N15</f>
        <v/>
      </c>
    </row>
    <row r="16">
      <c r="A16" s="30" t="n">
        <v>15</v>
      </c>
      <c r="B16" s="30" t="n">
        <v>2027</v>
      </c>
      <c r="C16" s="30" t="inlineStr">
        <is>
          <t>4月</t>
        </is>
      </c>
      <c r="D16" s="11">
        <f>IF(AND(总览!$L$6&lt;&gt;"",B16*100+VALUE(LEFT(C16,LEN(C16)-1))&gt;=总览!$L$6),总览!$M$6,IF(AND(总览!$J$6&lt;&gt;"",B16*100+VALUE(LEFT(C16,LEN(C16)-1))&gt;=总览!$J$6),总览!$K$6,IF(AND(总览!$H$6&lt;&gt;"",B16*100+VALUE(LEFT(C16,LEN(C16)-1))&gt;=总览!$H$6),总览!$I$6,IF(AND(总览!$F$6&lt;&gt;"",B16*100+VALUE(LEFT(C16,LEN(C16)-1))&gt;=总览!$F$6),总览!$G$6,IF(AND(总览!$D$6&lt;&gt;"",B16*100+VALUE(LEFT(C16,LEN(C16)-1))&gt;=总览!$D$6),总览!$E$6,总览!$B$6)))))</f>
        <v/>
      </c>
      <c r="E16" s="11">
        <f>IF(C16="12月",IF(AND(总览!$L$7&lt;&gt;"",B16*100+VALUE(LEFT(C16,LEN(C16)-1))&gt;=总览!$L$7),总览!$M$7,IF(AND(总览!$J$7&lt;&gt;"",B16*100+VALUE(LEFT(C16,LEN(C16)-1))&gt;=总览!$J$7),总览!$K$7,IF(AND(总览!$H$7&lt;&gt;"",B16*100+VALUE(LEFT(C16,LEN(C16)-1))&gt;=总览!$H$7),总览!$I$7,IF(AND(总览!$F$7&lt;&gt;"",B16*100+VALUE(LEFT(C16,LEN(C16)-1))&gt;=总览!$F$7),总览!$G$7,IF(AND(总览!$D$7&lt;&gt;"",B16*100+VALUE(LEFT(C16,LEN(C16)-1))&gt;=总览!$D$7),总览!$E$7,总览!$B$7))))),0)</f>
        <v/>
      </c>
      <c r="F16" s="11">
        <f>ROUND(O15*总览!$B$14/12,0)</f>
        <v/>
      </c>
      <c r="G16" s="11">
        <f>D16+E16+F16</f>
        <v/>
      </c>
      <c r="H16" s="11">
        <f>IF(OR(B16&gt;2027,AND(B16=2027,VALUE(LEFT(C16,LEN(C16)-1))&gt;=9)),IF(AND(总览!$L$10&lt;&gt;"",B16*100+VALUE(LEFT(C16,LEN(C16)-1))&gt;=总览!$L$10),总览!$M$10,IF(AND(总览!$J$10&lt;&gt;"",B16*100+VALUE(LEFT(C16,LEN(C16)-1))&gt;=总览!$J$10),总览!$K$10,IF(AND(总览!$H$10&lt;&gt;"",B16*100+VALUE(LEFT(C16,LEN(C16)-1))&gt;=总览!$H$10),总览!$I$10,IF(AND(总览!$F$10&lt;&gt;"",B16*100+VALUE(LEFT(C16,LEN(C16)-1))&gt;=总览!$F$10),总览!$G$10,IF(AND(总览!$D$10&lt;&gt;"",B16*100+VALUE(LEFT(C16,LEN(C16)-1))&gt;=总览!$D$10),总览!$E$10,总览!$B$10))))),IF(AND(总览!$L$9&lt;&gt;"",B16*100+VALUE(LEFT(C16,LEN(C16)-1))&gt;=总览!$L$9),总览!$M$9,IF(AND(总览!$J$9&lt;&gt;"",B16*100+VALUE(LEFT(C16,LEN(C16)-1))&gt;=总览!$J$9),总览!$K$9,IF(AND(总览!$H$9&lt;&gt;"",B16*100+VALUE(LEFT(C16,LEN(C16)-1))&gt;=总览!$H$9),总览!$I$9,IF(AND(总览!$F$9&lt;&gt;"",B16*100+VALUE(LEFT(C16,LEN(C16)-1))&gt;=总览!$F$9),总览!$G$9,IF(AND(总览!$D$9&lt;&gt;"",B16*100+VALUE(LEFT(C16,LEN(C16)-1))&gt;=总览!$D$9),总览!$E$9,总览!$B$9))))))</f>
        <v/>
      </c>
      <c r="I16" s="11">
        <f>IF(AND(总览!$L$11&lt;&gt;"",B16*100+VALUE(LEFT(C16,LEN(C16)-1))&gt;=总览!$L$11),总览!$M$11,IF(AND(总览!$J$11&lt;&gt;"",B16*100+VALUE(LEFT(C16,LEN(C16)-1))&gt;=总览!$J$11),总览!$K$11,IF(AND(总览!$H$11&lt;&gt;"",B16*100+VALUE(LEFT(C16,LEN(C16)-1))&gt;=总览!$H$11),总览!$I$11,IF(AND(总览!$F$11&lt;&gt;"",B16*100+VALUE(LEFT(C16,LEN(C16)-1))&gt;=总览!$F$11),总览!$G$11,IF(AND(总览!$D$11&lt;&gt;"",B16*100+VALUE(LEFT(C16,LEN(C16)-1))&gt;=总览!$D$11),总览!$E$11,总览!$B$11)))))</f>
        <v/>
      </c>
      <c r="J16" s="11">
        <f>IF(OR(B16&gt;2027,AND(B16=2027,VALUE(LEFT(C16,LEN(C16)-1))&gt;=9)),IF(AND(总览!$L$12&lt;&gt;"",B16*100+VALUE(LEFT(C16,LEN(C16)-1))&gt;=总览!$L$12),总览!$M$12,IF(AND(总览!$J$12&lt;&gt;"",B16*100+VALUE(LEFT(C16,LEN(C16)-1))&gt;=总览!$J$12),总览!$K$12,IF(AND(总览!$H$12&lt;&gt;"",B16*100+VALUE(LEFT(C16,LEN(C16)-1))&gt;=总览!$H$12),总览!$I$12,IF(AND(总览!$F$12&lt;&gt;"",B16*100+VALUE(LEFT(C16,LEN(C16)-1))&gt;=总览!$F$12),总览!$G$12,IF(AND(总览!$D$12&lt;&gt;"",B16*100+VALUE(LEFT(C16,LEN(C16)-1))&gt;=总览!$D$12),总览!$E$12,总览!$B$12))))),0)</f>
        <v/>
      </c>
      <c r="K16" s="11">
        <f>IF(AND(B16=2026,C16="5月"),120000,IF(AND(B16=2027,C16="9月"),30000,IF(C16="10月",IF(AND(总览!$L$13&lt;&gt;"",B16*100+VALUE(LEFT(C16,LEN(C16)-1))&gt;=总览!$L$13),总览!$M$13,IF(AND(总览!$J$13&lt;&gt;"",B16*100+VALUE(LEFT(C16,LEN(C16)-1))&gt;=总览!$J$13),总览!$K$13,IF(AND(总览!$H$13&lt;&gt;"",B16*100+VALUE(LEFT(C16,LEN(C16)-1))&gt;=总览!$H$13),总览!$I$13,IF(AND(总览!$F$13&lt;&gt;"",B16*100+VALUE(LEFT(C16,LEN(C16)-1))&gt;=总览!$F$13),总览!$G$13,IF(AND(总览!$D$13&lt;&gt;"",B16*100+VALUE(LEFT(C16,LEN(C16)-1))&gt;=总览!$D$13),总览!$E$13,总览!$B$13))))),0)))</f>
        <v/>
      </c>
      <c r="L16" s="30" t="inlineStr"/>
      <c r="M16" s="11">
        <f>SUM(H16:K16)</f>
        <v/>
      </c>
      <c r="N16" s="11">
        <f>G16-M16</f>
        <v/>
      </c>
      <c r="O16" s="11">
        <f>O15+N16</f>
        <v/>
      </c>
    </row>
    <row r="17">
      <c r="A17" s="31" t="n">
        <v>16</v>
      </c>
      <c r="B17" s="31" t="n">
        <v>2027</v>
      </c>
      <c r="C17" s="31" t="inlineStr">
        <is>
          <t>5月</t>
        </is>
      </c>
      <c r="D17" s="32">
        <f>IF(AND(总览!$L$6&lt;&gt;"",B17*100+VALUE(LEFT(C17,LEN(C17)-1))&gt;=总览!$L$6),总览!$M$6,IF(AND(总览!$J$6&lt;&gt;"",B17*100+VALUE(LEFT(C17,LEN(C17)-1))&gt;=总览!$J$6),总览!$K$6,IF(AND(总览!$H$6&lt;&gt;"",B17*100+VALUE(LEFT(C17,LEN(C17)-1))&gt;=总览!$H$6),总览!$I$6,IF(AND(总览!$F$6&lt;&gt;"",B17*100+VALUE(LEFT(C17,LEN(C17)-1))&gt;=总览!$F$6),总览!$G$6,IF(AND(总览!$D$6&lt;&gt;"",B17*100+VALUE(LEFT(C17,LEN(C17)-1))&gt;=总览!$D$6),总览!$E$6,总览!$B$6)))))</f>
        <v/>
      </c>
      <c r="E17" s="32">
        <f>IF(C17="12月",IF(AND(总览!$L$7&lt;&gt;"",B17*100+VALUE(LEFT(C17,LEN(C17)-1))&gt;=总览!$L$7),总览!$M$7,IF(AND(总览!$J$7&lt;&gt;"",B17*100+VALUE(LEFT(C17,LEN(C17)-1))&gt;=总览!$J$7),总览!$K$7,IF(AND(总览!$H$7&lt;&gt;"",B17*100+VALUE(LEFT(C17,LEN(C17)-1))&gt;=总览!$H$7),总览!$I$7,IF(AND(总览!$F$7&lt;&gt;"",B17*100+VALUE(LEFT(C17,LEN(C17)-1))&gt;=总览!$F$7),总览!$G$7,IF(AND(总览!$D$7&lt;&gt;"",B17*100+VALUE(LEFT(C17,LEN(C17)-1))&gt;=总览!$D$7),总览!$E$7,总览!$B$7))))),0)</f>
        <v/>
      </c>
      <c r="F17" s="32">
        <f>ROUND(O16*总览!$B$14/12,0)</f>
        <v/>
      </c>
      <c r="G17" s="32">
        <f>D17+E17+F17</f>
        <v/>
      </c>
      <c r="H17" s="32">
        <f>IF(OR(B17&gt;2027,AND(B17=2027,VALUE(LEFT(C17,LEN(C17)-1))&gt;=9)),IF(AND(总览!$L$10&lt;&gt;"",B17*100+VALUE(LEFT(C17,LEN(C17)-1))&gt;=总览!$L$10),总览!$M$10,IF(AND(总览!$J$10&lt;&gt;"",B17*100+VALUE(LEFT(C17,LEN(C17)-1))&gt;=总览!$J$10),总览!$K$10,IF(AND(总览!$H$10&lt;&gt;"",B17*100+VALUE(LEFT(C17,LEN(C17)-1))&gt;=总览!$H$10),总览!$I$10,IF(AND(总览!$F$10&lt;&gt;"",B17*100+VALUE(LEFT(C17,LEN(C17)-1))&gt;=总览!$F$10),总览!$G$10,IF(AND(总览!$D$10&lt;&gt;"",B17*100+VALUE(LEFT(C17,LEN(C17)-1))&gt;=总览!$D$10),总览!$E$10,总览!$B$10))))),IF(AND(总览!$L$9&lt;&gt;"",B17*100+VALUE(LEFT(C17,LEN(C17)-1))&gt;=总览!$L$9),总览!$M$9,IF(AND(总览!$J$9&lt;&gt;"",B17*100+VALUE(LEFT(C17,LEN(C17)-1))&gt;=总览!$J$9),总览!$K$9,IF(AND(总览!$H$9&lt;&gt;"",B17*100+VALUE(LEFT(C17,LEN(C17)-1))&gt;=总览!$H$9),总览!$I$9,IF(AND(总览!$F$9&lt;&gt;"",B17*100+VALUE(LEFT(C17,LEN(C17)-1))&gt;=总览!$F$9),总览!$G$9,IF(AND(总览!$D$9&lt;&gt;"",B17*100+VALUE(LEFT(C17,LEN(C17)-1))&gt;=总览!$D$9),总览!$E$9,总览!$B$9))))))</f>
        <v/>
      </c>
      <c r="I17" s="32">
        <f>IF(AND(总览!$L$11&lt;&gt;"",B17*100+VALUE(LEFT(C17,LEN(C17)-1))&gt;=总览!$L$11),总览!$M$11,IF(AND(总览!$J$11&lt;&gt;"",B17*100+VALUE(LEFT(C17,LEN(C17)-1))&gt;=总览!$J$11),总览!$K$11,IF(AND(总览!$H$11&lt;&gt;"",B17*100+VALUE(LEFT(C17,LEN(C17)-1))&gt;=总览!$H$11),总览!$I$11,IF(AND(总览!$F$11&lt;&gt;"",B17*100+VALUE(LEFT(C17,LEN(C17)-1))&gt;=总览!$F$11),总览!$G$11,IF(AND(总览!$D$11&lt;&gt;"",B17*100+VALUE(LEFT(C17,LEN(C17)-1))&gt;=总览!$D$11),总览!$E$11,总览!$B$11)))))</f>
        <v/>
      </c>
      <c r="J17" s="32">
        <f>IF(OR(B17&gt;2027,AND(B17=2027,VALUE(LEFT(C17,LEN(C17)-1))&gt;=9)),IF(AND(总览!$L$12&lt;&gt;"",B17*100+VALUE(LEFT(C17,LEN(C17)-1))&gt;=总览!$L$12),总览!$M$12,IF(AND(总览!$J$12&lt;&gt;"",B17*100+VALUE(LEFT(C17,LEN(C17)-1))&gt;=总览!$J$12),总览!$K$12,IF(AND(总览!$H$12&lt;&gt;"",B17*100+VALUE(LEFT(C17,LEN(C17)-1))&gt;=总览!$H$12),总览!$I$12,IF(AND(总览!$F$12&lt;&gt;"",B17*100+VALUE(LEFT(C17,LEN(C17)-1))&gt;=总览!$F$12),总览!$G$12,IF(AND(总览!$D$12&lt;&gt;"",B17*100+VALUE(LEFT(C17,LEN(C17)-1))&gt;=总览!$D$12),总览!$E$12,总览!$B$12))))),0)</f>
        <v/>
      </c>
      <c r="K17" s="32">
        <f>IF(AND(B17=2026,C17="5月"),120000,IF(AND(B17=2027,C17="9月"),30000,IF(C17="10月",IF(AND(总览!$L$13&lt;&gt;"",B17*100+VALUE(LEFT(C17,LEN(C17)-1))&gt;=总览!$L$13),总览!$M$13,IF(AND(总览!$J$13&lt;&gt;"",B17*100+VALUE(LEFT(C17,LEN(C17)-1))&gt;=总览!$J$13),总览!$K$13,IF(AND(总览!$H$13&lt;&gt;"",B17*100+VALUE(LEFT(C17,LEN(C17)-1))&gt;=总览!$H$13),总览!$I$13,IF(AND(总览!$F$13&lt;&gt;"",B17*100+VALUE(LEFT(C17,LEN(C17)-1))&gt;=总览!$F$13),总览!$G$13,IF(AND(总览!$D$13&lt;&gt;"",B17*100+VALUE(LEFT(C17,LEN(C17)-1))&gt;=总览!$D$13),总览!$E$13,总览!$B$13))))),0)))</f>
        <v/>
      </c>
      <c r="L17" s="31" t="inlineStr"/>
      <c r="M17" s="32">
        <f>SUM(H17:K17)</f>
        <v/>
      </c>
      <c r="N17" s="32">
        <f>G17-M17</f>
        <v/>
      </c>
      <c r="O17" s="32">
        <f>O16+N17</f>
        <v/>
      </c>
    </row>
    <row r="18">
      <c r="A18" s="30" t="n">
        <v>17</v>
      </c>
      <c r="B18" s="30" t="n">
        <v>2027</v>
      </c>
      <c r="C18" s="30" t="inlineStr">
        <is>
          <t>6月</t>
        </is>
      </c>
      <c r="D18" s="11">
        <f>IF(AND(总览!$L$6&lt;&gt;"",B18*100+VALUE(LEFT(C18,LEN(C18)-1))&gt;=总览!$L$6),总览!$M$6,IF(AND(总览!$J$6&lt;&gt;"",B18*100+VALUE(LEFT(C18,LEN(C18)-1))&gt;=总览!$J$6),总览!$K$6,IF(AND(总览!$H$6&lt;&gt;"",B18*100+VALUE(LEFT(C18,LEN(C18)-1))&gt;=总览!$H$6),总览!$I$6,IF(AND(总览!$F$6&lt;&gt;"",B18*100+VALUE(LEFT(C18,LEN(C18)-1))&gt;=总览!$F$6),总览!$G$6,IF(AND(总览!$D$6&lt;&gt;"",B18*100+VALUE(LEFT(C18,LEN(C18)-1))&gt;=总览!$D$6),总览!$E$6,总览!$B$6)))))</f>
        <v/>
      </c>
      <c r="E18" s="11">
        <f>IF(C18="12月",IF(AND(总览!$L$7&lt;&gt;"",B18*100+VALUE(LEFT(C18,LEN(C18)-1))&gt;=总览!$L$7),总览!$M$7,IF(AND(总览!$J$7&lt;&gt;"",B18*100+VALUE(LEFT(C18,LEN(C18)-1))&gt;=总览!$J$7),总览!$K$7,IF(AND(总览!$H$7&lt;&gt;"",B18*100+VALUE(LEFT(C18,LEN(C18)-1))&gt;=总览!$H$7),总览!$I$7,IF(AND(总览!$F$7&lt;&gt;"",B18*100+VALUE(LEFT(C18,LEN(C18)-1))&gt;=总览!$F$7),总览!$G$7,IF(AND(总览!$D$7&lt;&gt;"",B18*100+VALUE(LEFT(C18,LEN(C18)-1))&gt;=总览!$D$7),总览!$E$7,总览!$B$7))))),0)</f>
        <v/>
      </c>
      <c r="F18" s="11">
        <f>ROUND(O17*总览!$B$14/12,0)</f>
        <v/>
      </c>
      <c r="G18" s="11">
        <f>D18+E18+F18</f>
        <v/>
      </c>
      <c r="H18" s="11">
        <f>IF(OR(B18&gt;2027,AND(B18=2027,VALUE(LEFT(C18,LEN(C18)-1))&gt;=9)),IF(AND(总览!$L$10&lt;&gt;"",B18*100+VALUE(LEFT(C18,LEN(C18)-1))&gt;=总览!$L$10),总览!$M$10,IF(AND(总览!$J$10&lt;&gt;"",B18*100+VALUE(LEFT(C18,LEN(C18)-1))&gt;=总览!$J$10),总览!$K$10,IF(AND(总览!$H$10&lt;&gt;"",B18*100+VALUE(LEFT(C18,LEN(C18)-1))&gt;=总览!$H$10),总览!$I$10,IF(AND(总览!$F$10&lt;&gt;"",B18*100+VALUE(LEFT(C18,LEN(C18)-1))&gt;=总览!$F$10),总览!$G$10,IF(AND(总览!$D$10&lt;&gt;"",B18*100+VALUE(LEFT(C18,LEN(C18)-1))&gt;=总览!$D$10),总览!$E$10,总览!$B$10))))),IF(AND(总览!$L$9&lt;&gt;"",B18*100+VALUE(LEFT(C18,LEN(C18)-1))&gt;=总览!$L$9),总览!$M$9,IF(AND(总览!$J$9&lt;&gt;"",B18*100+VALUE(LEFT(C18,LEN(C18)-1))&gt;=总览!$J$9),总览!$K$9,IF(AND(总览!$H$9&lt;&gt;"",B18*100+VALUE(LEFT(C18,LEN(C18)-1))&gt;=总览!$H$9),总览!$I$9,IF(AND(总览!$F$9&lt;&gt;"",B18*100+VALUE(LEFT(C18,LEN(C18)-1))&gt;=总览!$F$9),总览!$G$9,IF(AND(总览!$D$9&lt;&gt;"",B18*100+VALUE(LEFT(C18,LEN(C18)-1))&gt;=总览!$D$9),总览!$E$9,总览!$B$9))))))</f>
        <v/>
      </c>
      <c r="I18" s="11">
        <f>IF(AND(总览!$L$11&lt;&gt;"",B18*100+VALUE(LEFT(C18,LEN(C18)-1))&gt;=总览!$L$11),总览!$M$11,IF(AND(总览!$J$11&lt;&gt;"",B18*100+VALUE(LEFT(C18,LEN(C18)-1))&gt;=总览!$J$11),总览!$K$11,IF(AND(总览!$H$11&lt;&gt;"",B18*100+VALUE(LEFT(C18,LEN(C18)-1))&gt;=总览!$H$11),总览!$I$11,IF(AND(总览!$F$11&lt;&gt;"",B18*100+VALUE(LEFT(C18,LEN(C18)-1))&gt;=总览!$F$11),总览!$G$11,IF(AND(总览!$D$11&lt;&gt;"",B18*100+VALUE(LEFT(C18,LEN(C18)-1))&gt;=总览!$D$11),总览!$E$11,总览!$B$11)))))</f>
        <v/>
      </c>
      <c r="J18" s="11">
        <f>IF(OR(B18&gt;2027,AND(B18=2027,VALUE(LEFT(C18,LEN(C18)-1))&gt;=9)),IF(AND(总览!$L$12&lt;&gt;"",B18*100+VALUE(LEFT(C18,LEN(C18)-1))&gt;=总览!$L$12),总览!$M$12,IF(AND(总览!$J$12&lt;&gt;"",B18*100+VALUE(LEFT(C18,LEN(C18)-1))&gt;=总览!$J$12),总览!$K$12,IF(AND(总览!$H$12&lt;&gt;"",B18*100+VALUE(LEFT(C18,LEN(C18)-1))&gt;=总览!$H$12),总览!$I$12,IF(AND(总览!$F$12&lt;&gt;"",B18*100+VALUE(LEFT(C18,LEN(C18)-1))&gt;=总览!$F$12),总览!$G$12,IF(AND(总览!$D$12&lt;&gt;"",B18*100+VALUE(LEFT(C18,LEN(C18)-1))&gt;=总览!$D$12),总览!$E$12,总览!$B$12))))),0)</f>
        <v/>
      </c>
      <c r="K18" s="11">
        <f>IF(AND(B18=2026,C18="5月"),120000,IF(AND(B18=2027,C18="9月"),30000,IF(C18="10月",IF(AND(总览!$L$13&lt;&gt;"",B18*100+VALUE(LEFT(C18,LEN(C18)-1))&gt;=总览!$L$13),总览!$M$13,IF(AND(总览!$J$13&lt;&gt;"",B18*100+VALUE(LEFT(C18,LEN(C18)-1))&gt;=总览!$J$13),总览!$K$13,IF(AND(总览!$H$13&lt;&gt;"",B18*100+VALUE(LEFT(C18,LEN(C18)-1))&gt;=总览!$H$13),总览!$I$13,IF(AND(总览!$F$13&lt;&gt;"",B18*100+VALUE(LEFT(C18,LEN(C18)-1))&gt;=总览!$F$13),总览!$G$13,IF(AND(总览!$D$13&lt;&gt;"",B18*100+VALUE(LEFT(C18,LEN(C18)-1))&gt;=总览!$D$13),总览!$E$13,总览!$B$13))))),0)))</f>
        <v/>
      </c>
      <c r="L18" s="30" t="inlineStr"/>
      <c r="M18" s="11">
        <f>SUM(H18:K18)</f>
        <v/>
      </c>
      <c r="N18" s="11">
        <f>G18-M18</f>
        <v/>
      </c>
      <c r="O18" s="11">
        <f>O17+N18</f>
        <v/>
      </c>
    </row>
    <row r="19">
      <c r="A19" s="31" t="n">
        <v>18</v>
      </c>
      <c r="B19" s="31" t="n">
        <v>2027</v>
      </c>
      <c r="C19" s="31" t="inlineStr">
        <is>
          <t>7月</t>
        </is>
      </c>
      <c r="D19" s="32">
        <f>IF(AND(总览!$L$6&lt;&gt;"",B19*100+VALUE(LEFT(C19,LEN(C19)-1))&gt;=总览!$L$6),总览!$M$6,IF(AND(总览!$J$6&lt;&gt;"",B19*100+VALUE(LEFT(C19,LEN(C19)-1))&gt;=总览!$J$6),总览!$K$6,IF(AND(总览!$H$6&lt;&gt;"",B19*100+VALUE(LEFT(C19,LEN(C19)-1))&gt;=总览!$H$6),总览!$I$6,IF(AND(总览!$F$6&lt;&gt;"",B19*100+VALUE(LEFT(C19,LEN(C19)-1))&gt;=总览!$F$6),总览!$G$6,IF(AND(总览!$D$6&lt;&gt;"",B19*100+VALUE(LEFT(C19,LEN(C19)-1))&gt;=总览!$D$6),总览!$E$6,总览!$B$6)))))</f>
        <v/>
      </c>
      <c r="E19" s="32">
        <f>IF(C19="12月",IF(AND(总览!$L$7&lt;&gt;"",B19*100+VALUE(LEFT(C19,LEN(C19)-1))&gt;=总览!$L$7),总览!$M$7,IF(AND(总览!$J$7&lt;&gt;"",B19*100+VALUE(LEFT(C19,LEN(C19)-1))&gt;=总览!$J$7),总览!$K$7,IF(AND(总览!$H$7&lt;&gt;"",B19*100+VALUE(LEFT(C19,LEN(C19)-1))&gt;=总览!$H$7),总览!$I$7,IF(AND(总览!$F$7&lt;&gt;"",B19*100+VALUE(LEFT(C19,LEN(C19)-1))&gt;=总览!$F$7),总览!$G$7,IF(AND(总览!$D$7&lt;&gt;"",B19*100+VALUE(LEFT(C19,LEN(C19)-1))&gt;=总览!$D$7),总览!$E$7,总览!$B$7))))),0)</f>
        <v/>
      </c>
      <c r="F19" s="32">
        <f>ROUND(O18*总览!$B$14/12,0)</f>
        <v/>
      </c>
      <c r="G19" s="32">
        <f>D19+E19+F19</f>
        <v/>
      </c>
      <c r="H19" s="32">
        <f>IF(OR(B19&gt;2027,AND(B19=2027,VALUE(LEFT(C19,LEN(C19)-1))&gt;=9)),IF(AND(总览!$L$10&lt;&gt;"",B19*100+VALUE(LEFT(C19,LEN(C19)-1))&gt;=总览!$L$10),总览!$M$10,IF(AND(总览!$J$10&lt;&gt;"",B19*100+VALUE(LEFT(C19,LEN(C19)-1))&gt;=总览!$J$10),总览!$K$10,IF(AND(总览!$H$10&lt;&gt;"",B19*100+VALUE(LEFT(C19,LEN(C19)-1))&gt;=总览!$H$10),总览!$I$10,IF(AND(总览!$F$10&lt;&gt;"",B19*100+VALUE(LEFT(C19,LEN(C19)-1))&gt;=总览!$F$10),总览!$G$10,IF(AND(总览!$D$10&lt;&gt;"",B19*100+VALUE(LEFT(C19,LEN(C19)-1))&gt;=总览!$D$10),总览!$E$10,总览!$B$10))))),IF(AND(总览!$L$9&lt;&gt;"",B19*100+VALUE(LEFT(C19,LEN(C19)-1))&gt;=总览!$L$9),总览!$M$9,IF(AND(总览!$J$9&lt;&gt;"",B19*100+VALUE(LEFT(C19,LEN(C19)-1))&gt;=总览!$J$9),总览!$K$9,IF(AND(总览!$H$9&lt;&gt;"",B19*100+VALUE(LEFT(C19,LEN(C19)-1))&gt;=总览!$H$9),总览!$I$9,IF(AND(总览!$F$9&lt;&gt;"",B19*100+VALUE(LEFT(C19,LEN(C19)-1))&gt;=总览!$F$9),总览!$G$9,IF(AND(总览!$D$9&lt;&gt;"",B19*100+VALUE(LEFT(C19,LEN(C19)-1))&gt;=总览!$D$9),总览!$E$9,总览!$B$9))))))</f>
        <v/>
      </c>
      <c r="I19" s="32">
        <f>IF(AND(总览!$L$11&lt;&gt;"",B19*100+VALUE(LEFT(C19,LEN(C19)-1))&gt;=总览!$L$11),总览!$M$11,IF(AND(总览!$J$11&lt;&gt;"",B19*100+VALUE(LEFT(C19,LEN(C19)-1))&gt;=总览!$J$11),总览!$K$11,IF(AND(总览!$H$11&lt;&gt;"",B19*100+VALUE(LEFT(C19,LEN(C19)-1))&gt;=总览!$H$11),总览!$I$11,IF(AND(总览!$F$11&lt;&gt;"",B19*100+VALUE(LEFT(C19,LEN(C19)-1))&gt;=总览!$F$11),总览!$G$11,IF(AND(总览!$D$11&lt;&gt;"",B19*100+VALUE(LEFT(C19,LEN(C19)-1))&gt;=总览!$D$11),总览!$E$11,总览!$B$11)))))</f>
        <v/>
      </c>
      <c r="J19" s="32">
        <f>IF(OR(B19&gt;2027,AND(B19=2027,VALUE(LEFT(C19,LEN(C19)-1))&gt;=9)),IF(AND(总览!$L$12&lt;&gt;"",B19*100+VALUE(LEFT(C19,LEN(C19)-1))&gt;=总览!$L$12),总览!$M$12,IF(AND(总览!$J$12&lt;&gt;"",B19*100+VALUE(LEFT(C19,LEN(C19)-1))&gt;=总览!$J$12),总览!$K$12,IF(AND(总览!$H$12&lt;&gt;"",B19*100+VALUE(LEFT(C19,LEN(C19)-1))&gt;=总览!$H$12),总览!$I$12,IF(AND(总览!$F$12&lt;&gt;"",B19*100+VALUE(LEFT(C19,LEN(C19)-1))&gt;=总览!$F$12),总览!$G$12,IF(AND(总览!$D$12&lt;&gt;"",B19*100+VALUE(LEFT(C19,LEN(C19)-1))&gt;=总览!$D$12),总览!$E$12,总览!$B$12))))),0)</f>
        <v/>
      </c>
      <c r="K19" s="32">
        <f>IF(AND(B19=2026,C19="5月"),120000,IF(AND(B19=2027,C19="9月"),30000,IF(C19="10月",IF(AND(总览!$L$13&lt;&gt;"",B19*100+VALUE(LEFT(C19,LEN(C19)-1))&gt;=总览!$L$13),总览!$M$13,IF(AND(总览!$J$13&lt;&gt;"",B19*100+VALUE(LEFT(C19,LEN(C19)-1))&gt;=总览!$J$13),总览!$K$13,IF(AND(总览!$H$13&lt;&gt;"",B19*100+VALUE(LEFT(C19,LEN(C19)-1))&gt;=总览!$H$13),总览!$I$13,IF(AND(总览!$F$13&lt;&gt;"",B19*100+VALUE(LEFT(C19,LEN(C19)-1))&gt;=总览!$F$13),总览!$G$13,IF(AND(总览!$D$13&lt;&gt;"",B19*100+VALUE(LEFT(C19,LEN(C19)-1))&gt;=总览!$D$13),总览!$E$13,总览!$B$13))))),0)))</f>
        <v/>
      </c>
      <c r="L19" s="31" t="inlineStr"/>
      <c r="M19" s="32">
        <f>SUM(H19:K19)</f>
        <v/>
      </c>
      <c r="N19" s="32">
        <f>G19-M19</f>
        <v/>
      </c>
      <c r="O19" s="32">
        <f>O18+N19</f>
        <v/>
      </c>
    </row>
    <row r="20">
      <c r="A20" s="30" t="n">
        <v>19</v>
      </c>
      <c r="B20" s="30" t="n">
        <v>2027</v>
      </c>
      <c r="C20" s="30" t="inlineStr">
        <is>
          <t>8月</t>
        </is>
      </c>
      <c r="D20" s="11">
        <f>IF(AND(总览!$L$6&lt;&gt;"",B20*100+VALUE(LEFT(C20,LEN(C20)-1))&gt;=总览!$L$6),总览!$M$6,IF(AND(总览!$J$6&lt;&gt;"",B20*100+VALUE(LEFT(C20,LEN(C20)-1))&gt;=总览!$J$6),总览!$K$6,IF(AND(总览!$H$6&lt;&gt;"",B20*100+VALUE(LEFT(C20,LEN(C20)-1))&gt;=总览!$H$6),总览!$I$6,IF(AND(总览!$F$6&lt;&gt;"",B20*100+VALUE(LEFT(C20,LEN(C20)-1))&gt;=总览!$F$6),总览!$G$6,IF(AND(总览!$D$6&lt;&gt;"",B20*100+VALUE(LEFT(C20,LEN(C20)-1))&gt;=总览!$D$6),总览!$E$6,总览!$B$6)))))</f>
        <v/>
      </c>
      <c r="E20" s="11">
        <f>IF(C20="12月",IF(AND(总览!$L$7&lt;&gt;"",B20*100+VALUE(LEFT(C20,LEN(C20)-1))&gt;=总览!$L$7),总览!$M$7,IF(AND(总览!$J$7&lt;&gt;"",B20*100+VALUE(LEFT(C20,LEN(C20)-1))&gt;=总览!$J$7),总览!$K$7,IF(AND(总览!$H$7&lt;&gt;"",B20*100+VALUE(LEFT(C20,LEN(C20)-1))&gt;=总览!$H$7),总览!$I$7,IF(AND(总览!$F$7&lt;&gt;"",B20*100+VALUE(LEFT(C20,LEN(C20)-1))&gt;=总览!$F$7),总览!$G$7,IF(AND(总览!$D$7&lt;&gt;"",B20*100+VALUE(LEFT(C20,LEN(C20)-1))&gt;=总览!$D$7),总览!$E$7,总览!$B$7))))),0)</f>
        <v/>
      </c>
      <c r="F20" s="11">
        <f>ROUND(O19*总览!$B$14/12,0)</f>
        <v/>
      </c>
      <c r="G20" s="11">
        <f>D20+E20+F20</f>
        <v/>
      </c>
      <c r="H20" s="11">
        <f>IF(OR(B20&gt;2027,AND(B20=2027,VALUE(LEFT(C20,LEN(C20)-1))&gt;=9)),IF(AND(总览!$L$10&lt;&gt;"",B20*100+VALUE(LEFT(C20,LEN(C20)-1))&gt;=总览!$L$10),总览!$M$10,IF(AND(总览!$J$10&lt;&gt;"",B20*100+VALUE(LEFT(C20,LEN(C20)-1))&gt;=总览!$J$10),总览!$K$10,IF(AND(总览!$H$10&lt;&gt;"",B20*100+VALUE(LEFT(C20,LEN(C20)-1))&gt;=总览!$H$10),总览!$I$10,IF(AND(总览!$F$10&lt;&gt;"",B20*100+VALUE(LEFT(C20,LEN(C20)-1))&gt;=总览!$F$10),总览!$G$10,IF(AND(总览!$D$10&lt;&gt;"",B20*100+VALUE(LEFT(C20,LEN(C20)-1))&gt;=总览!$D$10),总览!$E$10,总览!$B$10))))),IF(AND(总览!$L$9&lt;&gt;"",B20*100+VALUE(LEFT(C20,LEN(C20)-1))&gt;=总览!$L$9),总览!$M$9,IF(AND(总览!$J$9&lt;&gt;"",B20*100+VALUE(LEFT(C20,LEN(C20)-1))&gt;=总览!$J$9),总览!$K$9,IF(AND(总览!$H$9&lt;&gt;"",B20*100+VALUE(LEFT(C20,LEN(C20)-1))&gt;=总览!$H$9),总览!$I$9,IF(AND(总览!$F$9&lt;&gt;"",B20*100+VALUE(LEFT(C20,LEN(C20)-1))&gt;=总览!$F$9),总览!$G$9,IF(AND(总览!$D$9&lt;&gt;"",B20*100+VALUE(LEFT(C20,LEN(C20)-1))&gt;=总览!$D$9),总览!$E$9,总览!$B$9))))))</f>
        <v/>
      </c>
      <c r="I20" s="11">
        <f>IF(AND(总览!$L$11&lt;&gt;"",B20*100+VALUE(LEFT(C20,LEN(C20)-1))&gt;=总览!$L$11),总览!$M$11,IF(AND(总览!$J$11&lt;&gt;"",B20*100+VALUE(LEFT(C20,LEN(C20)-1))&gt;=总览!$J$11),总览!$K$11,IF(AND(总览!$H$11&lt;&gt;"",B20*100+VALUE(LEFT(C20,LEN(C20)-1))&gt;=总览!$H$11),总览!$I$11,IF(AND(总览!$F$11&lt;&gt;"",B20*100+VALUE(LEFT(C20,LEN(C20)-1))&gt;=总览!$F$11),总览!$G$11,IF(AND(总览!$D$11&lt;&gt;"",B20*100+VALUE(LEFT(C20,LEN(C20)-1))&gt;=总览!$D$11),总览!$E$11,总览!$B$11)))))</f>
        <v/>
      </c>
      <c r="J20" s="11">
        <f>IF(OR(B20&gt;2027,AND(B20=2027,VALUE(LEFT(C20,LEN(C20)-1))&gt;=9)),IF(AND(总览!$L$12&lt;&gt;"",B20*100+VALUE(LEFT(C20,LEN(C20)-1))&gt;=总览!$L$12),总览!$M$12,IF(AND(总览!$J$12&lt;&gt;"",B20*100+VALUE(LEFT(C20,LEN(C20)-1))&gt;=总览!$J$12),总览!$K$12,IF(AND(总览!$H$12&lt;&gt;"",B20*100+VALUE(LEFT(C20,LEN(C20)-1))&gt;=总览!$H$12),总览!$I$12,IF(AND(总览!$F$12&lt;&gt;"",B20*100+VALUE(LEFT(C20,LEN(C20)-1))&gt;=总览!$F$12),总览!$G$12,IF(AND(总览!$D$12&lt;&gt;"",B20*100+VALUE(LEFT(C20,LEN(C20)-1))&gt;=总览!$D$12),总览!$E$12,总览!$B$12))))),0)</f>
        <v/>
      </c>
      <c r="K20" s="11">
        <f>IF(AND(B20=2026,C20="5月"),120000,IF(AND(B20=2027,C20="9月"),30000,IF(C20="10月",IF(AND(总览!$L$13&lt;&gt;"",B20*100+VALUE(LEFT(C20,LEN(C20)-1))&gt;=总览!$L$13),总览!$M$13,IF(AND(总览!$J$13&lt;&gt;"",B20*100+VALUE(LEFT(C20,LEN(C20)-1))&gt;=总览!$J$13),总览!$K$13,IF(AND(总览!$H$13&lt;&gt;"",B20*100+VALUE(LEFT(C20,LEN(C20)-1))&gt;=总览!$H$13),总览!$I$13,IF(AND(总览!$F$13&lt;&gt;"",B20*100+VALUE(LEFT(C20,LEN(C20)-1))&gt;=总览!$F$13),总览!$G$13,IF(AND(总览!$D$13&lt;&gt;"",B20*100+VALUE(LEFT(C20,LEN(C20)-1))&gt;=总览!$D$13),总览!$E$13,总览!$B$13))))),0)))</f>
        <v/>
      </c>
      <c r="L20" s="30" t="inlineStr"/>
      <c r="M20" s="11">
        <f>SUM(H20:K20)</f>
        <v/>
      </c>
      <c r="N20" s="11">
        <f>G20-M20</f>
        <v/>
      </c>
      <c r="O20" s="11">
        <f>O19+N20</f>
        <v/>
      </c>
    </row>
    <row r="21">
      <c r="A21" s="33" t="n">
        <v>20</v>
      </c>
      <c r="B21" s="33" t="n">
        <v>2027</v>
      </c>
      <c r="C21" s="33" t="inlineStr">
        <is>
          <t>9月</t>
        </is>
      </c>
      <c r="D21" s="34">
        <f>IF(AND(总览!$L$6&lt;&gt;"",B21*100+VALUE(LEFT(C21,LEN(C21)-1))&gt;=总览!$L$6),总览!$M$6,IF(AND(总览!$J$6&lt;&gt;"",B21*100+VALUE(LEFT(C21,LEN(C21)-1))&gt;=总览!$J$6),总览!$K$6,IF(AND(总览!$H$6&lt;&gt;"",B21*100+VALUE(LEFT(C21,LEN(C21)-1))&gt;=总览!$H$6),总览!$I$6,IF(AND(总览!$F$6&lt;&gt;"",B21*100+VALUE(LEFT(C21,LEN(C21)-1))&gt;=总览!$F$6),总览!$G$6,IF(AND(总览!$D$6&lt;&gt;"",B21*100+VALUE(LEFT(C21,LEN(C21)-1))&gt;=总览!$D$6),总览!$E$6,总览!$B$6)))))</f>
        <v/>
      </c>
      <c r="E21" s="34">
        <f>IF(C21="12月",IF(AND(总览!$L$7&lt;&gt;"",B21*100+VALUE(LEFT(C21,LEN(C21)-1))&gt;=总览!$L$7),总览!$M$7,IF(AND(总览!$J$7&lt;&gt;"",B21*100+VALUE(LEFT(C21,LEN(C21)-1))&gt;=总览!$J$7),总览!$K$7,IF(AND(总览!$H$7&lt;&gt;"",B21*100+VALUE(LEFT(C21,LEN(C21)-1))&gt;=总览!$H$7),总览!$I$7,IF(AND(总览!$F$7&lt;&gt;"",B21*100+VALUE(LEFT(C21,LEN(C21)-1))&gt;=总览!$F$7),总览!$G$7,IF(AND(总览!$D$7&lt;&gt;"",B21*100+VALUE(LEFT(C21,LEN(C21)-1))&gt;=总览!$D$7),总览!$E$7,总览!$B$7))))),0)</f>
        <v/>
      </c>
      <c r="F21" s="34">
        <f>ROUND(O20*总览!$B$14/12,0)</f>
        <v/>
      </c>
      <c r="G21" s="34">
        <f>D21+E21+F21</f>
        <v/>
      </c>
      <c r="H21" s="34">
        <f>IF(OR(B21&gt;2027,AND(B21=2027,VALUE(LEFT(C21,LEN(C21)-1))&gt;=9)),IF(AND(总览!$L$10&lt;&gt;"",B21*100+VALUE(LEFT(C21,LEN(C21)-1))&gt;=总览!$L$10),总览!$M$10,IF(AND(总览!$J$10&lt;&gt;"",B21*100+VALUE(LEFT(C21,LEN(C21)-1))&gt;=总览!$J$10),总览!$K$10,IF(AND(总览!$H$10&lt;&gt;"",B21*100+VALUE(LEFT(C21,LEN(C21)-1))&gt;=总览!$H$10),总览!$I$10,IF(AND(总览!$F$10&lt;&gt;"",B21*100+VALUE(LEFT(C21,LEN(C21)-1))&gt;=总览!$F$10),总览!$G$10,IF(AND(总览!$D$10&lt;&gt;"",B21*100+VALUE(LEFT(C21,LEN(C21)-1))&gt;=总览!$D$10),总览!$E$10,总览!$B$10))))),IF(AND(总览!$L$9&lt;&gt;"",B21*100+VALUE(LEFT(C21,LEN(C21)-1))&gt;=总览!$L$9),总览!$M$9,IF(AND(总览!$J$9&lt;&gt;"",B21*100+VALUE(LEFT(C21,LEN(C21)-1))&gt;=总览!$J$9),总览!$K$9,IF(AND(总览!$H$9&lt;&gt;"",B21*100+VALUE(LEFT(C21,LEN(C21)-1))&gt;=总览!$H$9),总览!$I$9,IF(AND(总览!$F$9&lt;&gt;"",B21*100+VALUE(LEFT(C21,LEN(C21)-1))&gt;=总览!$F$9),总览!$G$9,IF(AND(总览!$D$9&lt;&gt;"",B21*100+VALUE(LEFT(C21,LEN(C21)-1))&gt;=总览!$D$9),总览!$E$9,总览!$B$9))))))</f>
        <v/>
      </c>
      <c r="I21" s="34">
        <f>IF(AND(总览!$L$11&lt;&gt;"",B21*100+VALUE(LEFT(C21,LEN(C21)-1))&gt;=总览!$L$11),总览!$M$11,IF(AND(总览!$J$11&lt;&gt;"",B21*100+VALUE(LEFT(C21,LEN(C21)-1))&gt;=总览!$J$11),总览!$K$11,IF(AND(总览!$H$11&lt;&gt;"",B21*100+VALUE(LEFT(C21,LEN(C21)-1))&gt;=总览!$H$11),总览!$I$11,IF(AND(总览!$F$11&lt;&gt;"",B21*100+VALUE(LEFT(C21,LEN(C21)-1))&gt;=总览!$F$11),总览!$G$11,IF(AND(总览!$D$11&lt;&gt;"",B21*100+VALUE(LEFT(C21,LEN(C21)-1))&gt;=总览!$D$11),总览!$E$11,总览!$B$11)))))</f>
        <v/>
      </c>
      <c r="J21" s="34">
        <f>IF(OR(B21&gt;2027,AND(B21=2027,VALUE(LEFT(C21,LEN(C21)-1))&gt;=9)),IF(AND(总览!$L$12&lt;&gt;"",B21*100+VALUE(LEFT(C21,LEN(C21)-1))&gt;=总览!$L$12),总览!$M$12,IF(AND(总览!$J$12&lt;&gt;"",B21*100+VALUE(LEFT(C21,LEN(C21)-1))&gt;=总览!$J$12),总览!$K$12,IF(AND(总览!$H$12&lt;&gt;"",B21*100+VALUE(LEFT(C21,LEN(C21)-1))&gt;=总览!$H$12),总览!$I$12,IF(AND(总览!$F$12&lt;&gt;"",B21*100+VALUE(LEFT(C21,LEN(C21)-1))&gt;=总览!$F$12),总览!$G$12,IF(AND(总览!$D$12&lt;&gt;"",B21*100+VALUE(LEFT(C21,LEN(C21)-1))&gt;=总览!$D$12),总览!$E$12,总览!$B$12))))),0)</f>
        <v/>
      </c>
      <c r="K21" s="34">
        <f>IF(AND(B21=2026,C21="5月"),120000,IF(AND(B21=2027,C21="9月"),30000,IF(C21="10月",IF(AND(总览!$L$13&lt;&gt;"",B21*100+VALUE(LEFT(C21,LEN(C21)-1))&gt;=总览!$L$13),总览!$M$13,IF(AND(总览!$J$13&lt;&gt;"",B21*100+VALUE(LEFT(C21,LEN(C21)-1))&gt;=总览!$J$13),总览!$K$13,IF(AND(总览!$H$13&lt;&gt;"",B21*100+VALUE(LEFT(C21,LEN(C21)-1))&gt;=总览!$H$13),总览!$I$13,IF(AND(总览!$F$13&lt;&gt;"",B21*100+VALUE(LEFT(C21,LEN(C21)-1))&gt;=总览!$F$13),总览!$G$13,IF(AND(总览!$D$13&lt;&gt;"",B21*100+VALUE(LEFT(C21,LEN(C21)-1))&gt;=总览!$D$13),总览!$E$13,总览!$B$13))))),0)))</f>
        <v/>
      </c>
      <c r="L21" s="33" t="inlineStr">
        <is>
          <t>孕产费用</t>
        </is>
      </c>
      <c r="M21" s="34">
        <f>SUM(H21:K21)</f>
        <v/>
      </c>
      <c r="N21" s="34">
        <f>G21-M21</f>
        <v/>
      </c>
      <c r="O21" s="34">
        <f>O20+N21</f>
        <v/>
      </c>
    </row>
    <row r="22">
      <c r="A22" s="33" t="n">
        <v>21</v>
      </c>
      <c r="B22" s="33" t="n">
        <v>2027</v>
      </c>
      <c r="C22" s="33" t="inlineStr">
        <is>
          <t>10月</t>
        </is>
      </c>
      <c r="D22" s="34">
        <f>IF(AND(总览!$L$6&lt;&gt;"",B22*100+VALUE(LEFT(C22,LEN(C22)-1))&gt;=总览!$L$6),总览!$M$6,IF(AND(总览!$J$6&lt;&gt;"",B22*100+VALUE(LEFT(C22,LEN(C22)-1))&gt;=总览!$J$6),总览!$K$6,IF(AND(总览!$H$6&lt;&gt;"",B22*100+VALUE(LEFT(C22,LEN(C22)-1))&gt;=总览!$H$6),总览!$I$6,IF(AND(总览!$F$6&lt;&gt;"",B22*100+VALUE(LEFT(C22,LEN(C22)-1))&gt;=总览!$F$6),总览!$G$6,IF(AND(总览!$D$6&lt;&gt;"",B22*100+VALUE(LEFT(C22,LEN(C22)-1))&gt;=总览!$D$6),总览!$E$6,总览!$B$6)))))</f>
        <v/>
      </c>
      <c r="E22" s="34">
        <f>IF(C22="12月",IF(AND(总览!$L$7&lt;&gt;"",B22*100+VALUE(LEFT(C22,LEN(C22)-1))&gt;=总览!$L$7),总览!$M$7,IF(AND(总览!$J$7&lt;&gt;"",B22*100+VALUE(LEFT(C22,LEN(C22)-1))&gt;=总览!$J$7),总览!$K$7,IF(AND(总览!$H$7&lt;&gt;"",B22*100+VALUE(LEFT(C22,LEN(C22)-1))&gt;=总览!$H$7),总览!$I$7,IF(AND(总览!$F$7&lt;&gt;"",B22*100+VALUE(LEFT(C22,LEN(C22)-1))&gt;=总览!$F$7),总览!$G$7,IF(AND(总览!$D$7&lt;&gt;"",B22*100+VALUE(LEFT(C22,LEN(C22)-1))&gt;=总览!$D$7),总览!$E$7,总览!$B$7))))),0)</f>
        <v/>
      </c>
      <c r="F22" s="34">
        <f>ROUND(O21*总览!$B$14/12,0)</f>
        <v/>
      </c>
      <c r="G22" s="34">
        <f>D22+E22+F22</f>
        <v/>
      </c>
      <c r="H22" s="34">
        <f>IF(OR(B22&gt;2027,AND(B22=2027,VALUE(LEFT(C22,LEN(C22)-1))&gt;=9)),IF(AND(总览!$L$10&lt;&gt;"",B22*100+VALUE(LEFT(C22,LEN(C22)-1))&gt;=总览!$L$10),总览!$M$10,IF(AND(总览!$J$10&lt;&gt;"",B22*100+VALUE(LEFT(C22,LEN(C22)-1))&gt;=总览!$J$10),总览!$K$10,IF(AND(总览!$H$10&lt;&gt;"",B22*100+VALUE(LEFT(C22,LEN(C22)-1))&gt;=总览!$H$10),总览!$I$10,IF(AND(总览!$F$10&lt;&gt;"",B22*100+VALUE(LEFT(C22,LEN(C22)-1))&gt;=总览!$F$10),总览!$G$10,IF(AND(总览!$D$10&lt;&gt;"",B22*100+VALUE(LEFT(C22,LEN(C22)-1))&gt;=总览!$D$10),总览!$E$10,总览!$B$10))))),IF(AND(总览!$L$9&lt;&gt;"",B22*100+VALUE(LEFT(C22,LEN(C22)-1))&gt;=总览!$L$9),总览!$M$9,IF(AND(总览!$J$9&lt;&gt;"",B22*100+VALUE(LEFT(C22,LEN(C22)-1))&gt;=总览!$J$9),总览!$K$9,IF(AND(总览!$H$9&lt;&gt;"",B22*100+VALUE(LEFT(C22,LEN(C22)-1))&gt;=总览!$H$9),总览!$I$9,IF(AND(总览!$F$9&lt;&gt;"",B22*100+VALUE(LEFT(C22,LEN(C22)-1))&gt;=总览!$F$9),总览!$G$9,IF(AND(总览!$D$9&lt;&gt;"",B22*100+VALUE(LEFT(C22,LEN(C22)-1))&gt;=总览!$D$9),总览!$E$9,总览!$B$9))))))</f>
        <v/>
      </c>
      <c r="I22" s="34">
        <f>IF(AND(总览!$L$11&lt;&gt;"",B22*100+VALUE(LEFT(C22,LEN(C22)-1))&gt;=总览!$L$11),总览!$M$11,IF(AND(总览!$J$11&lt;&gt;"",B22*100+VALUE(LEFT(C22,LEN(C22)-1))&gt;=总览!$J$11),总览!$K$11,IF(AND(总览!$H$11&lt;&gt;"",B22*100+VALUE(LEFT(C22,LEN(C22)-1))&gt;=总览!$H$11),总览!$I$11,IF(AND(总览!$F$11&lt;&gt;"",B22*100+VALUE(LEFT(C22,LEN(C22)-1))&gt;=总览!$F$11),总览!$G$11,IF(AND(总览!$D$11&lt;&gt;"",B22*100+VALUE(LEFT(C22,LEN(C22)-1))&gt;=总览!$D$11),总览!$E$11,总览!$B$11)))))</f>
        <v/>
      </c>
      <c r="J22" s="34">
        <f>IF(OR(B22&gt;2027,AND(B22=2027,VALUE(LEFT(C22,LEN(C22)-1))&gt;=9)),IF(AND(总览!$L$12&lt;&gt;"",B22*100+VALUE(LEFT(C22,LEN(C22)-1))&gt;=总览!$L$12),总览!$M$12,IF(AND(总览!$J$12&lt;&gt;"",B22*100+VALUE(LEFT(C22,LEN(C22)-1))&gt;=总览!$J$12),总览!$K$12,IF(AND(总览!$H$12&lt;&gt;"",B22*100+VALUE(LEFT(C22,LEN(C22)-1))&gt;=总览!$H$12),总览!$I$12,IF(AND(总览!$F$12&lt;&gt;"",B22*100+VALUE(LEFT(C22,LEN(C22)-1))&gt;=总览!$F$12),总览!$G$12,IF(AND(总览!$D$12&lt;&gt;"",B22*100+VALUE(LEFT(C22,LEN(C22)-1))&gt;=总览!$D$12),总览!$E$12,总览!$B$12))))),0)</f>
        <v/>
      </c>
      <c r="K22" s="34">
        <f>IF(AND(B22=2026,C22="5月"),120000,IF(AND(B22=2027,C22="9月"),30000,IF(C22="10月",IF(AND(总览!$L$13&lt;&gt;"",B22*100+VALUE(LEFT(C22,LEN(C22)-1))&gt;=总览!$L$13),总览!$M$13,IF(AND(总览!$J$13&lt;&gt;"",B22*100+VALUE(LEFT(C22,LEN(C22)-1))&gt;=总览!$J$13),总览!$K$13,IF(AND(总览!$H$13&lt;&gt;"",B22*100+VALUE(LEFT(C22,LEN(C22)-1))&gt;=总览!$H$13),总览!$I$13,IF(AND(总览!$F$13&lt;&gt;"",B22*100+VALUE(LEFT(C22,LEN(C22)-1))&gt;=总览!$F$13),总览!$G$13,IF(AND(总览!$D$13&lt;&gt;"",B22*100+VALUE(LEFT(C22,LEN(C22)-1))&gt;=总览!$D$13),总览!$E$13,总览!$B$13))))),0)))</f>
        <v/>
      </c>
      <c r="L22" s="33" t="inlineStr">
        <is>
          <t>年度旅游</t>
        </is>
      </c>
      <c r="M22" s="34">
        <f>SUM(H22:K22)</f>
        <v/>
      </c>
      <c r="N22" s="34">
        <f>G22-M22</f>
        <v/>
      </c>
      <c r="O22" s="34">
        <f>O21+N22</f>
        <v/>
      </c>
    </row>
    <row r="23">
      <c r="A23" s="31" t="n">
        <v>22</v>
      </c>
      <c r="B23" s="31" t="n">
        <v>2027</v>
      </c>
      <c r="C23" s="31" t="inlineStr">
        <is>
          <t>11月</t>
        </is>
      </c>
      <c r="D23" s="32">
        <f>IF(AND(总览!$L$6&lt;&gt;"",B23*100+VALUE(LEFT(C23,LEN(C23)-1))&gt;=总览!$L$6),总览!$M$6,IF(AND(总览!$J$6&lt;&gt;"",B23*100+VALUE(LEFT(C23,LEN(C23)-1))&gt;=总览!$J$6),总览!$K$6,IF(AND(总览!$H$6&lt;&gt;"",B23*100+VALUE(LEFT(C23,LEN(C23)-1))&gt;=总览!$H$6),总览!$I$6,IF(AND(总览!$F$6&lt;&gt;"",B23*100+VALUE(LEFT(C23,LEN(C23)-1))&gt;=总览!$F$6),总览!$G$6,IF(AND(总览!$D$6&lt;&gt;"",B23*100+VALUE(LEFT(C23,LEN(C23)-1))&gt;=总览!$D$6),总览!$E$6,总览!$B$6)))))</f>
        <v/>
      </c>
      <c r="E23" s="32">
        <f>IF(C23="12月",IF(AND(总览!$L$7&lt;&gt;"",B23*100+VALUE(LEFT(C23,LEN(C23)-1))&gt;=总览!$L$7),总览!$M$7,IF(AND(总览!$J$7&lt;&gt;"",B23*100+VALUE(LEFT(C23,LEN(C23)-1))&gt;=总览!$J$7),总览!$K$7,IF(AND(总览!$H$7&lt;&gt;"",B23*100+VALUE(LEFT(C23,LEN(C23)-1))&gt;=总览!$H$7),总览!$I$7,IF(AND(总览!$F$7&lt;&gt;"",B23*100+VALUE(LEFT(C23,LEN(C23)-1))&gt;=总览!$F$7),总览!$G$7,IF(AND(总览!$D$7&lt;&gt;"",B23*100+VALUE(LEFT(C23,LEN(C23)-1))&gt;=总览!$D$7),总览!$E$7,总览!$B$7))))),0)</f>
        <v/>
      </c>
      <c r="F23" s="32">
        <f>ROUND(O22*总览!$B$14/12,0)</f>
        <v/>
      </c>
      <c r="G23" s="32">
        <f>D23+E23+F23</f>
        <v/>
      </c>
      <c r="H23" s="32">
        <f>IF(OR(B23&gt;2027,AND(B23=2027,VALUE(LEFT(C23,LEN(C23)-1))&gt;=9)),IF(AND(总览!$L$10&lt;&gt;"",B23*100+VALUE(LEFT(C23,LEN(C23)-1))&gt;=总览!$L$10),总览!$M$10,IF(AND(总览!$J$10&lt;&gt;"",B23*100+VALUE(LEFT(C23,LEN(C23)-1))&gt;=总览!$J$10),总览!$K$10,IF(AND(总览!$H$10&lt;&gt;"",B23*100+VALUE(LEFT(C23,LEN(C23)-1))&gt;=总览!$H$10),总览!$I$10,IF(AND(总览!$F$10&lt;&gt;"",B23*100+VALUE(LEFT(C23,LEN(C23)-1))&gt;=总览!$F$10),总览!$G$10,IF(AND(总览!$D$10&lt;&gt;"",B23*100+VALUE(LEFT(C23,LEN(C23)-1))&gt;=总览!$D$10),总览!$E$10,总览!$B$10))))),IF(AND(总览!$L$9&lt;&gt;"",B23*100+VALUE(LEFT(C23,LEN(C23)-1))&gt;=总览!$L$9),总览!$M$9,IF(AND(总览!$J$9&lt;&gt;"",B23*100+VALUE(LEFT(C23,LEN(C23)-1))&gt;=总览!$J$9),总览!$K$9,IF(AND(总览!$H$9&lt;&gt;"",B23*100+VALUE(LEFT(C23,LEN(C23)-1))&gt;=总览!$H$9),总览!$I$9,IF(AND(总览!$F$9&lt;&gt;"",B23*100+VALUE(LEFT(C23,LEN(C23)-1))&gt;=总览!$F$9),总览!$G$9,IF(AND(总览!$D$9&lt;&gt;"",B23*100+VALUE(LEFT(C23,LEN(C23)-1))&gt;=总览!$D$9),总览!$E$9,总览!$B$9))))))</f>
        <v/>
      </c>
      <c r="I23" s="32">
        <f>IF(AND(总览!$L$11&lt;&gt;"",B23*100+VALUE(LEFT(C23,LEN(C23)-1))&gt;=总览!$L$11),总览!$M$11,IF(AND(总览!$J$11&lt;&gt;"",B23*100+VALUE(LEFT(C23,LEN(C23)-1))&gt;=总览!$J$11),总览!$K$11,IF(AND(总览!$H$11&lt;&gt;"",B23*100+VALUE(LEFT(C23,LEN(C23)-1))&gt;=总览!$H$11),总览!$I$11,IF(AND(总览!$F$11&lt;&gt;"",B23*100+VALUE(LEFT(C23,LEN(C23)-1))&gt;=总览!$F$11),总览!$G$11,IF(AND(总览!$D$11&lt;&gt;"",B23*100+VALUE(LEFT(C23,LEN(C23)-1))&gt;=总览!$D$11),总览!$E$11,总览!$B$11)))))</f>
        <v/>
      </c>
      <c r="J23" s="32">
        <f>IF(OR(B23&gt;2027,AND(B23=2027,VALUE(LEFT(C23,LEN(C23)-1))&gt;=9)),IF(AND(总览!$L$12&lt;&gt;"",B23*100+VALUE(LEFT(C23,LEN(C23)-1))&gt;=总览!$L$12),总览!$M$12,IF(AND(总览!$J$12&lt;&gt;"",B23*100+VALUE(LEFT(C23,LEN(C23)-1))&gt;=总览!$J$12),总览!$K$12,IF(AND(总览!$H$12&lt;&gt;"",B23*100+VALUE(LEFT(C23,LEN(C23)-1))&gt;=总览!$H$12),总览!$I$12,IF(AND(总览!$F$12&lt;&gt;"",B23*100+VALUE(LEFT(C23,LEN(C23)-1))&gt;=总览!$F$12),总览!$G$12,IF(AND(总览!$D$12&lt;&gt;"",B23*100+VALUE(LEFT(C23,LEN(C23)-1))&gt;=总览!$D$12),总览!$E$12,总览!$B$12))))),0)</f>
        <v/>
      </c>
      <c r="K23" s="32">
        <f>IF(AND(B23=2026,C23="5月"),120000,IF(AND(B23=2027,C23="9月"),30000,IF(C23="10月",IF(AND(总览!$L$13&lt;&gt;"",B23*100+VALUE(LEFT(C23,LEN(C23)-1))&gt;=总览!$L$13),总览!$M$13,IF(AND(总览!$J$13&lt;&gt;"",B23*100+VALUE(LEFT(C23,LEN(C23)-1))&gt;=总览!$J$13),总览!$K$13,IF(AND(总览!$H$13&lt;&gt;"",B23*100+VALUE(LEFT(C23,LEN(C23)-1))&gt;=总览!$H$13),总览!$I$13,IF(AND(总览!$F$13&lt;&gt;"",B23*100+VALUE(LEFT(C23,LEN(C23)-1))&gt;=总览!$F$13),总览!$G$13,IF(AND(总览!$D$13&lt;&gt;"",B23*100+VALUE(LEFT(C23,LEN(C23)-1))&gt;=总览!$D$13),总览!$E$13,总览!$B$13))))),0)))</f>
        <v/>
      </c>
      <c r="L23" s="31" t="inlineStr"/>
      <c r="M23" s="32">
        <f>SUM(H23:K23)</f>
        <v/>
      </c>
      <c r="N23" s="32">
        <f>G23-M23</f>
        <v/>
      </c>
      <c r="O23" s="32">
        <f>O22+N23</f>
        <v/>
      </c>
    </row>
    <row r="24">
      <c r="A24" s="35" t="n">
        <v>23</v>
      </c>
      <c r="B24" s="35" t="n">
        <v>2027</v>
      </c>
      <c r="C24" s="35" t="inlineStr">
        <is>
          <t>12月</t>
        </is>
      </c>
      <c r="D24" s="36">
        <f>IF(AND(总览!$L$6&lt;&gt;"",B24*100+VALUE(LEFT(C24,LEN(C24)-1))&gt;=总览!$L$6),总览!$M$6,IF(AND(总览!$J$6&lt;&gt;"",B24*100+VALUE(LEFT(C24,LEN(C24)-1))&gt;=总览!$J$6),总览!$K$6,IF(AND(总览!$H$6&lt;&gt;"",B24*100+VALUE(LEFT(C24,LEN(C24)-1))&gt;=总览!$H$6),总览!$I$6,IF(AND(总览!$F$6&lt;&gt;"",B24*100+VALUE(LEFT(C24,LEN(C24)-1))&gt;=总览!$F$6),总览!$G$6,IF(AND(总览!$D$6&lt;&gt;"",B24*100+VALUE(LEFT(C24,LEN(C24)-1))&gt;=总览!$D$6),总览!$E$6,总览!$B$6)))))</f>
        <v/>
      </c>
      <c r="E24" s="36">
        <f>IF(C24="12月",IF(AND(总览!$L$7&lt;&gt;"",B24*100+VALUE(LEFT(C24,LEN(C24)-1))&gt;=总览!$L$7),总览!$M$7,IF(AND(总览!$J$7&lt;&gt;"",B24*100+VALUE(LEFT(C24,LEN(C24)-1))&gt;=总览!$J$7),总览!$K$7,IF(AND(总览!$H$7&lt;&gt;"",B24*100+VALUE(LEFT(C24,LEN(C24)-1))&gt;=总览!$H$7),总览!$I$7,IF(AND(总览!$F$7&lt;&gt;"",B24*100+VALUE(LEFT(C24,LEN(C24)-1))&gt;=总览!$F$7),总览!$G$7,IF(AND(总览!$D$7&lt;&gt;"",B24*100+VALUE(LEFT(C24,LEN(C24)-1))&gt;=总览!$D$7),总览!$E$7,总览!$B$7))))),0)</f>
        <v/>
      </c>
      <c r="F24" s="36">
        <f>ROUND(O23*总览!$B$14/12,0)</f>
        <v/>
      </c>
      <c r="G24" s="36">
        <f>D24+E24+F24</f>
        <v/>
      </c>
      <c r="H24" s="36">
        <f>IF(OR(B24&gt;2027,AND(B24=2027,VALUE(LEFT(C24,LEN(C24)-1))&gt;=9)),IF(AND(总览!$L$10&lt;&gt;"",B24*100+VALUE(LEFT(C24,LEN(C24)-1))&gt;=总览!$L$10),总览!$M$10,IF(AND(总览!$J$10&lt;&gt;"",B24*100+VALUE(LEFT(C24,LEN(C24)-1))&gt;=总览!$J$10),总览!$K$10,IF(AND(总览!$H$10&lt;&gt;"",B24*100+VALUE(LEFT(C24,LEN(C24)-1))&gt;=总览!$H$10),总览!$I$10,IF(AND(总览!$F$10&lt;&gt;"",B24*100+VALUE(LEFT(C24,LEN(C24)-1))&gt;=总览!$F$10),总览!$G$10,IF(AND(总览!$D$10&lt;&gt;"",B24*100+VALUE(LEFT(C24,LEN(C24)-1))&gt;=总览!$D$10),总览!$E$10,总览!$B$10))))),IF(AND(总览!$L$9&lt;&gt;"",B24*100+VALUE(LEFT(C24,LEN(C24)-1))&gt;=总览!$L$9),总览!$M$9,IF(AND(总览!$J$9&lt;&gt;"",B24*100+VALUE(LEFT(C24,LEN(C24)-1))&gt;=总览!$J$9),总览!$K$9,IF(AND(总览!$H$9&lt;&gt;"",B24*100+VALUE(LEFT(C24,LEN(C24)-1))&gt;=总览!$H$9),总览!$I$9,IF(AND(总览!$F$9&lt;&gt;"",B24*100+VALUE(LEFT(C24,LEN(C24)-1))&gt;=总览!$F$9),总览!$G$9,IF(AND(总览!$D$9&lt;&gt;"",B24*100+VALUE(LEFT(C24,LEN(C24)-1))&gt;=总览!$D$9),总览!$E$9,总览!$B$9))))))</f>
        <v/>
      </c>
      <c r="I24" s="36">
        <f>IF(AND(总览!$L$11&lt;&gt;"",B24*100+VALUE(LEFT(C24,LEN(C24)-1))&gt;=总览!$L$11),总览!$M$11,IF(AND(总览!$J$11&lt;&gt;"",B24*100+VALUE(LEFT(C24,LEN(C24)-1))&gt;=总览!$J$11),总览!$K$11,IF(AND(总览!$H$11&lt;&gt;"",B24*100+VALUE(LEFT(C24,LEN(C24)-1))&gt;=总览!$H$11),总览!$I$11,IF(AND(总览!$F$11&lt;&gt;"",B24*100+VALUE(LEFT(C24,LEN(C24)-1))&gt;=总览!$F$11),总览!$G$11,IF(AND(总览!$D$11&lt;&gt;"",B24*100+VALUE(LEFT(C24,LEN(C24)-1))&gt;=总览!$D$11),总览!$E$11,总览!$B$11)))))</f>
        <v/>
      </c>
      <c r="J24" s="36">
        <f>IF(OR(B24&gt;2027,AND(B24=2027,VALUE(LEFT(C24,LEN(C24)-1))&gt;=9)),IF(AND(总览!$L$12&lt;&gt;"",B24*100+VALUE(LEFT(C24,LEN(C24)-1))&gt;=总览!$L$12),总览!$M$12,IF(AND(总览!$J$12&lt;&gt;"",B24*100+VALUE(LEFT(C24,LEN(C24)-1))&gt;=总览!$J$12),总览!$K$12,IF(AND(总览!$H$12&lt;&gt;"",B24*100+VALUE(LEFT(C24,LEN(C24)-1))&gt;=总览!$H$12),总览!$I$12,IF(AND(总览!$F$12&lt;&gt;"",B24*100+VALUE(LEFT(C24,LEN(C24)-1))&gt;=总览!$F$12),总览!$G$12,IF(AND(总览!$D$12&lt;&gt;"",B24*100+VALUE(LEFT(C24,LEN(C24)-1))&gt;=总览!$D$12),总览!$E$12,总览!$B$12))))),0)</f>
        <v/>
      </c>
      <c r="K24" s="36">
        <f>IF(AND(B24=2026,C24="5月"),120000,IF(AND(B24=2027,C24="9月"),30000,IF(C24="10月",IF(AND(总览!$L$13&lt;&gt;"",B24*100+VALUE(LEFT(C24,LEN(C24)-1))&gt;=总览!$L$13),总览!$M$13,IF(AND(总览!$J$13&lt;&gt;"",B24*100+VALUE(LEFT(C24,LEN(C24)-1))&gt;=总览!$J$13),总览!$K$13,IF(AND(总览!$H$13&lt;&gt;"",B24*100+VALUE(LEFT(C24,LEN(C24)-1))&gt;=总览!$H$13),总览!$I$13,IF(AND(总览!$F$13&lt;&gt;"",B24*100+VALUE(LEFT(C24,LEN(C24)-1))&gt;=总览!$F$13),总览!$G$13,IF(AND(总览!$D$13&lt;&gt;"",B24*100+VALUE(LEFT(C24,LEN(C24)-1))&gt;=总览!$D$13),总览!$E$13,总览!$B$13))))),0)))</f>
        <v/>
      </c>
      <c r="L24" s="35" t="inlineStr"/>
      <c r="M24" s="36">
        <f>SUM(H24:K24)</f>
        <v/>
      </c>
      <c r="N24" s="36">
        <f>G24-M24</f>
        <v/>
      </c>
      <c r="O24" s="36">
        <f>O23+N24</f>
        <v/>
      </c>
    </row>
    <row r="25">
      <c r="A25" s="31" t="n">
        <v>24</v>
      </c>
      <c r="B25" s="31" t="n">
        <v>2028</v>
      </c>
      <c r="C25" s="31" t="inlineStr">
        <is>
          <t>1月</t>
        </is>
      </c>
      <c r="D25" s="32">
        <f>IF(AND(总览!$L$6&lt;&gt;"",B25*100+VALUE(LEFT(C25,LEN(C25)-1))&gt;=总览!$L$6),总览!$M$6,IF(AND(总览!$J$6&lt;&gt;"",B25*100+VALUE(LEFT(C25,LEN(C25)-1))&gt;=总览!$J$6),总览!$K$6,IF(AND(总览!$H$6&lt;&gt;"",B25*100+VALUE(LEFT(C25,LEN(C25)-1))&gt;=总览!$H$6),总览!$I$6,IF(AND(总览!$F$6&lt;&gt;"",B25*100+VALUE(LEFT(C25,LEN(C25)-1))&gt;=总览!$F$6),总览!$G$6,IF(AND(总览!$D$6&lt;&gt;"",B25*100+VALUE(LEFT(C25,LEN(C25)-1))&gt;=总览!$D$6),总览!$E$6,总览!$B$6)))))</f>
        <v/>
      </c>
      <c r="E25" s="32">
        <f>IF(C25="12月",IF(AND(总览!$L$7&lt;&gt;"",B25*100+VALUE(LEFT(C25,LEN(C25)-1))&gt;=总览!$L$7),总览!$M$7,IF(AND(总览!$J$7&lt;&gt;"",B25*100+VALUE(LEFT(C25,LEN(C25)-1))&gt;=总览!$J$7),总览!$K$7,IF(AND(总览!$H$7&lt;&gt;"",B25*100+VALUE(LEFT(C25,LEN(C25)-1))&gt;=总览!$H$7),总览!$I$7,IF(AND(总览!$F$7&lt;&gt;"",B25*100+VALUE(LEFT(C25,LEN(C25)-1))&gt;=总览!$F$7),总览!$G$7,IF(AND(总览!$D$7&lt;&gt;"",B25*100+VALUE(LEFT(C25,LEN(C25)-1))&gt;=总览!$D$7),总览!$E$7,总览!$B$7))))),0)</f>
        <v/>
      </c>
      <c r="F25" s="32">
        <f>ROUND(O24*总览!$B$14/12,0)</f>
        <v/>
      </c>
      <c r="G25" s="32">
        <f>D25+E25+F25</f>
        <v/>
      </c>
      <c r="H25" s="32">
        <f>IF(OR(B25&gt;2027,AND(B25=2027,VALUE(LEFT(C25,LEN(C25)-1))&gt;=9)),IF(AND(总览!$L$10&lt;&gt;"",B25*100+VALUE(LEFT(C25,LEN(C25)-1))&gt;=总览!$L$10),总览!$M$10,IF(AND(总览!$J$10&lt;&gt;"",B25*100+VALUE(LEFT(C25,LEN(C25)-1))&gt;=总览!$J$10),总览!$K$10,IF(AND(总览!$H$10&lt;&gt;"",B25*100+VALUE(LEFT(C25,LEN(C25)-1))&gt;=总览!$H$10),总览!$I$10,IF(AND(总览!$F$10&lt;&gt;"",B25*100+VALUE(LEFT(C25,LEN(C25)-1))&gt;=总览!$F$10),总览!$G$10,IF(AND(总览!$D$10&lt;&gt;"",B25*100+VALUE(LEFT(C25,LEN(C25)-1))&gt;=总览!$D$10),总览!$E$10,总览!$B$10))))),IF(AND(总览!$L$9&lt;&gt;"",B25*100+VALUE(LEFT(C25,LEN(C25)-1))&gt;=总览!$L$9),总览!$M$9,IF(AND(总览!$J$9&lt;&gt;"",B25*100+VALUE(LEFT(C25,LEN(C25)-1))&gt;=总览!$J$9),总览!$K$9,IF(AND(总览!$H$9&lt;&gt;"",B25*100+VALUE(LEFT(C25,LEN(C25)-1))&gt;=总览!$H$9),总览!$I$9,IF(AND(总览!$F$9&lt;&gt;"",B25*100+VALUE(LEFT(C25,LEN(C25)-1))&gt;=总览!$F$9),总览!$G$9,IF(AND(总览!$D$9&lt;&gt;"",B25*100+VALUE(LEFT(C25,LEN(C25)-1))&gt;=总览!$D$9),总览!$E$9,总览!$B$9))))))</f>
        <v/>
      </c>
      <c r="I25" s="32">
        <f>IF(AND(总览!$L$11&lt;&gt;"",B25*100+VALUE(LEFT(C25,LEN(C25)-1))&gt;=总览!$L$11),总览!$M$11,IF(AND(总览!$J$11&lt;&gt;"",B25*100+VALUE(LEFT(C25,LEN(C25)-1))&gt;=总览!$J$11),总览!$K$11,IF(AND(总览!$H$11&lt;&gt;"",B25*100+VALUE(LEFT(C25,LEN(C25)-1))&gt;=总览!$H$11),总览!$I$11,IF(AND(总览!$F$11&lt;&gt;"",B25*100+VALUE(LEFT(C25,LEN(C25)-1))&gt;=总览!$F$11),总览!$G$11,IF(AND(总览!$D$11&lt;&gt;"",B25*100+VALUE(LEFT(C25,LEN(C25)-1))&gt;=总览!$D$11),总览!$E$11,总览!$B$11)))))</f>
        <v/>
      </c>
      <c r="J25" s="32">
        <f>IF(OR(B25&gt;2027,AND(B25=2027,VALUE(LEFT(C25,LEN(C25)-1))&gt;=9)),IF(AND(总览!$L$12&lt;&gt;"",B25*100+VALUE(LEFT(C25,LEN(C25)-1))&gt;=总览!$L$12),总览!$M$12,IF(AND(总览!$J$12&lt;&gt;"",B25*100+VALUE(LEFT(C25,LEN(C25)-1))&gt;=总览!$J$12),总览!$K$12,IF(AND(总览!$H$12&lt;&gt;"",B25*100+VALUE(LEFT(C25,LEN(C25)-1))&gt;=总览!$H$12),总览!$I$12,IF(AND(总览!$F$12&lt;&gt;"",B25*100+VALUE(LEFT(C25,LEN(C25)-1))&gt;=总览!$F$12),总览!$G$12,IF(AND(总览!$D$12&lt;&gt;"",B25*100+VALUE(LEFT(C25,LEN(C25)-1))&gt;=总览!$D$12),总览!$E$12,总览!$B$12))))),0)</f>
        <v/>
      </c>
      <c r="K25" s="32">
        <f>IF(AND(B25=2026,C25="5月"),120000,IF(AND(B25=2027,C25="9月"),30000,IF(C25="10月",IF(AND(总览!$L$13&lt;&gt;"",B25*100+VALUE(LEFT(C25,LEN(C25)-1))&gt;=总览!$L$13),总览!$M$13,IF(AND(总览!$J$13&lt;&gt;"",B25*100+VALUE(LEFT(C25,LEN(C25)-1))&gt;=总览!$J$13),总览!$K$13,IF(AND(总览!$H$13&lt;&gt;"",B25*100+VALUE(LEFT(C25,LEN(C25)-1))&gt;=总览!$H$13),总览!$I$13,IF(AND(总览!$F$13&lt;&gt;"",B25*100+VALUE(LEFT(C25,LEN(C25)-1))&gt;=总览!$F$13),总览!$G$13,IF(AND(总览!$D$13&lt;&gt;"",B25*100+VALUE(LEFT(C25,LEN(C25)-1))&gt;=总览!$D$13),总览!$E$13,总览!$B$13))))),0)))</f>
        <v/>
      </c>
      <c r="L25" s="31" t="inlineStr"/>
      <c r="M25" s="32">
        <f>SUM(H25:K25)</f>
        <v/>
      </c>
      <c r="N25" s="32">
        <f>G25-M25</f>
        <v/>
      </c>
      <c r="O25" s="32">
        <f>O24+N25</f>
        <v/>
      </c>
    </row>
    <row r="26">
      <c r="A26" s="30" t="n">
        <v>25</v>
      </c>
      <c r="B26" s="30" t="n">
        <v>2028</v>
      </c>
      <c r="C26" s="30" t="inlineStr">
        <is>
          <t>2月</t>
        </is>
      </c>
      <c r="D26" s="11">
        <f>IF(AND(总览!$L$6&lt;&gt;"",B26*100+VALUE(LEFT(C26,LEN(C26)-1))&gt;=总览!$L$6),总览!$M$6,IF(AND(总览!$J$6&lt;&gt;"",B26*100+VALUE(LEFT(C26,LEN(C26)-1))&gt;=总览!$J$6),总览!$K$6,IF(AND(总览!$H$6&lt;&gt;"",B26*100+VALUE(LEFT(C26,LEN(C26)-1))&gt;=总览!$H$6),总览!$I$6,IF(AND(总览!$F$6&lt;&gt;"",B26*100+VALUE(LEFT(C26,LEN(C26)-1))&gt;=总览!$F$6),总览!$G$6,IF(AND(总览!$D$6&lt;&gt;"",B26*100+VALUE(LEFT(C26,LEN(C26)-1))&gt;=总览!$D$6),总览!$E$6,总览!$B$6)))))</f>
        <v/>
      </c>
      <c r="E26" s="11">
        <f>IF(C26="12月",IF(AND(总览!$L$7&lt;&gt;"",B26*100+VALUE(LEFT(C26,LEN(C26)-1))&gt;=总览!$L$7),总览!$M$7,IF(AND(总览!$J$7&lt;&gt;"",B26*100+VALUE(LEFT(C26,LEN(C26)-1))&gt;=总览!$J$7),总览!$K$7,IF(AND(总览!$H$7&lt;&gt;"",B26*100+VALUE(LEFT(C26,LEN(C26)-1))&gt;=总览!$H$7),总览!$I$7,IF(AND(总览!$F$7&lt;&gt;"",B26*100+VALUE(LEFT(C26,LEN(C26)-1))&gt;=总览!$F$7),总览!$G$7,IF(AND(总览!$D$7&lt;&gt;"",B26*100+VALUE(LEFT(C26,LEN(C26)-1))&gt;=总览!$D$7),总览!$E$7,总览!$B$7))))),0)</f>
        <v/>
      </c>
      <c r="F26" s="11">
        <f>ROUND(O25*总览!$B$14/12,0)</f>
        <v/>
      </c>
      <c r="G26" s="11">
        <f>D26+E26+F26</f>
        <v/>
      </c>
      <c r="H26" s="11">
        <f>IF(OR(B26&gt;2027,AND(B26=2027,VALUE(LEFT(C26,LEN(C26)-1))&gt;=9)),IF(AND(总览!$L$10&lt;&gt;"",B26*100+VALUE(LEFT(C26,LEN(C26)-1))&gt;=总览!$L$10),总览!$M$10,IF(AND(总览!$J$10&lt;&gt;"",B26*100+VALUE(LEFT(C26,LEN(C26)-1))&gt;=总览!$J$10),总览!$K$10,IF(AND(总览!$H$10&lt;&gt;"",B26*100+VALUE(LEFT(C26,LEN(C26)-1))&gt;=总览!$H$10),总览!$I$10,IF(AND(总览!$F$10&lt;&gt;"",B26*100+VALUE(LEFT(C26,LEN(C26)-1))&gt;=总览!$F$10),总览!$G$10,IF(AND(总览!$D$10&lt;&gt;"",B26*100+VALUE(LEFT(C26,LEN(C26)-1))&gt;=总览!$D$10),总览!$E$10,总览!$B$10))))),IF(AND(总览!$L$9&lt;&gt;"",B26*100+VALUE(LEFT(C26,LEN(C26)-1))&gt;=总览!$L$9),总览!$M$9,IF(AND(总览!$J$9&lt;&gt;"",B26*100+VALUE(LEFT(C26,LEN(C26)-1))&gt;=总览!$J$9),总览!$K$9,IF(AND(总览!$H$9&lt;&gt;"",B26*100+VALUE(LEFT(C26,LEN(C26)-1))&gt;=总览!$H$9),总览!$I$9,IF(AND(总览!$F$9&lt;&gt;"",B26*100+VALUE(LEFT(C26,LEN(C26)-1))&gt;=总览!$F$9),总览!$G$9,IF(AND(总览!$D$9&lt;&gt;"",B26*100+VALUE(LEFT(C26,LEN(C26)-1))&gt;=总览!$D$9),总览!$E$9,总览!$B$9))))))</f>
        <v/>
      </c>
      <c r="I26" s="11">
        <f>IF(AND(总览!$L$11&lt;&gt;"",B26*100+VALUE(LEFT(C26,LEN(C26)-1))&gt;=总览!$L$11),总览!$M$11,IF(AND(总览!$J$11&lt;&gt;"",B26*100+VALUE(LEFT(C26,LEN(C26)-1))&gt;=总览!$J$11),总览!$K$11,IF(AND(总览!$H$11&lt;&gt;"",B26*100+VALUE(LEFT(C26,LEN(C26)-1))&gt;=总览!$H$11),总览!$I$11,IF(AND(总览!$F$11&lt;&gt;"",B26*100+VALUE(LEFT(C26,LEN(C26)-1))&gt;=总览!$F$11),总览!$G$11,IF(AND(总览!$D$11&lt;&gt;"",B26*100+VALUE(LEFT(C26,LEN(C26)-1))&gt;=总览!$D$11),总览!$E$11,总览!$B$11)))))</f>
        <v/>
      </c>
      <c r="J26" s="11">
        <f>IF(OR(B26&gt;2027,AND(B26=2027,VALUE(LEFT(C26,LEN(C26)-1))&gt;=9)),IF(AND(总览!$L$12&lt;&gt;"",B26*100+VALUE(LEFT(C26,LEN(C26)-1))&gt;=总览!$L$12),总览!$M$12,IF(AND(总览!$J$12&lt;&gt;"",B26*100+VALUE(LEFT(C26,LEN(C26)-1))&gt;=总览!$J$12),总览!$K$12,IF(AND(总览!$H$12&lt;&gt;"",B26*100+VALUE(LEFT(C26,LEN(C26)-1))&gt;=总览!$H$12),总览!$I$12,IF(AND(总览!$F$12&lt;&gt;"",B26*100+VALUE(LEFT(C26,LEN(C26)-1))&gt;=总览!$F$12),总览!$G$12,IF(AND(总览!$D$12&lt;&gt;"",B26*100+VALUE(LEFT(C26,LEN(C26)-1))&gt;=总览!$D$12),总览!$E$12,总览!$B$12))))),0)</f>
        <v/>
      </c>
      <c r="K26" s="11">
        <f>IF(AND(B26=2026,C26="5月"),120000,IF(AND(B26=2027,C26="9月"),30000,IF(C26="10月",IF(AND(总览!$L$13&lt;&gt;"",B26*100+VALUE(LEFT(C26,LEN(C26)-1))&gt;=总览!$L$13),总览!$M$13,IF(AND(总览!$J$13&lt;&gt;"",B26*100+VALUE(LEFT(C26,LEN(C26)-1))&gt;=总览!$J$13),总览!$K$13,IF(AND(总览!$H$13&lt;&gt;"",B26*100+VALUE(LEFT(C26,LEN(C26)-1))&gt;=总览!$H$13),总览!$I$13,IF(AND(总览!$F$13&lt;&gt;"",B26*100+VALUE(LEFT(C26,LEN(C26)-1))&gt;=总览!$F$13),总览!$G$13,IF(AND(总览!$D$13&lt;&gt;"",B26*100+VALUE(LEFT(C26,LEN(C26)-1))&gt;=总览!$D$13),总览!$E$13,总览!$B$13))))),0)))</f>
        <v/>
      </c>
      <c r="L26" s="30" t="inlineStr"/>
      <c r="M26" s="11">
        <f>SUM(H26:K26)</f>
        <v/>
      </c>
      <c r="N26" s="11">
        <f>G26-M26</f>
        <v/>
      </c>
      <c r="O26" s="11">
        <f>O25+N26</f>
        <v/>
      </c>
    </row>
    <row r="27">
      <c r="A27" s="31" t="n">
        <v>26</v>
      </c>
      <c r="B27" s="31" t="n">
        <v>2028</v>
      </c>
      <c r="C27" s="31" t="inlineStr">
        <is>
          <t>3月</t>
        </is>
      </c>
      <c r="D27" s="32">
        <f>IF(AND(总览!$L$6&lt;&gt;"",B27*100+VALUE(LEFT(C27,LEN(C27)-1))&gt;=总览!$L$6),总览!$M$6,IF(AND(总览!$J$6&lt;&gt;"",B27*100+VALUE(LEFT(C27,LEN(C27)-1))&gt;=总览!$J$6),总览!$K$6,IF(AND(总览!$H$6&lt;&gt;"",B27*100+VALUE(LEFT(C27,LEN(C27)-1))&gt;=总览!$H$6),总览!$I$6,IF(AND(总览!$F$6&lt;&gt;"",B27*100+VALUE(LEFT(C27,LEN(C27)-1))&gt;=总览!$F$6),总览!$G$6,IF(AND(总览!$D$6&lt;&gt;"",B27*100+VALUE(LEFT(C27,LEN(C27)-1))&gt;=总览!$D$6),总览!$E$6,总览!$B$6)))))</f>
        <v/>
      </c>
      <c r="E27" s="32">
        <f>IF(C27="12月",IF(AND(总览!$L$7&lt;&gt;"",B27*100+VALUE(LEFT(C27,LEN(C27)-1))&gt;=总览!$L$7),总览!$M$7,IF(AND(总览!$J$7&lt;&gt;"",B27*100+VALUE(LEFT(C27,LEN(C27)-1))&gt;=总览!$J$7),总览!$K$7,IF(AND(总览!$H$7&lt;&gt;"",B27*100+VALUE(LEFT(C27,LEN(C27)-1))&gt;=总览!$H$7),总览!$I$7,IF(AND(总览!$F$7&lt;&gt;"",B27*100+VALUE(LEFT(C27,LEN(C27)-1))&gt;=总览!$F$7),总览!$G$7,IF(AND(总览!$D$7&lt;&gt;"",B27*100+VALUE(LEFT(C27,LEN(C27)-1))&gt;=总览!$D$7),总览!$E$7,总览!$B$7))))),0)</f>
        <v/>
      </c>
      <c r="F27" s="32">
        <f>ROUND(O26*总览!$B$14/12,0)</f>
        <v/>
      </c>
      <c r="G27" s="32">
        <f>D27+E27+F27</f>
        <v/>
      </c>
      <c r="H27" s="32">
        <f>IF(OR(B27&gt;2027,AND(B27=2027,VALUE(LEFT(C27,LEN(C27)-1))&gt;=9)),IF(AND(总览!$L$10&lt;&gt;"",B27*100+VALUE(LEFT(C27,LEN(C27)-1))&gt;=总览!$L$10),总览!$M$10,IF(AND(总览!$J$10&lt;&gt;"",B27*100+VALUE(LEFT(C27,LEN(C27)-1))&gt;=总览!$J$10),总览!$K$10,IF(AND(总览!$H$10&lt;&gt;"",B27*100+VALUE(LEFT(C27,LEN(C27)-1))&gt;=总览!$H$10),总览!$I$10,IF(AND(总览!$F$10&lt;&gt;"",B27*100+VALUE(LEFT(C27,LEN(C27)-1))&gt;=总览!$F$10),总览!$G$10,IF(AND(总览!$D$10&lt;&gt;"",B27*100+VALUE(LEFT(C27,LEN(C27)-1))&gt;=总览!$D$10),总览!$E$10,总览!$B$10))))),IF(AND(总览!$L$9&lt;&gt;"",B27*100+VALUE(LEFT(C27,LEN(C27)-1))&gt;=总览!$L$9),总览!$M$9,IF(AND(总览!$J$9&lt;&gt;"",B27*100+VALUE(LEFT(C27,LEN(C27)-1))&gt;=总览!$J$9),总览!$K$9,IF(AND(总览!$H$9&lt;&gt;"",B27*100+VALUE(LEFT(C27,LEN(C27)-1))&gt;=总览!$H$9),总览!$I$9,IF(AND(总览!$F$9&lt;&gt;"",B27*100+VALUE(LEFT(C27,LEN(C27)-1))&gt;=总览!$F$9),总览!$G$9,IF(AND(总览!$D$9&lt;&gt;"",B27*100+VALUE(LEFT(C27,LEN(C27)-1))&gt;=总览!$D$9),总览!$E$9,总览!$B$9))))))</f>
        <v/>
      </c>
      <c r="I27" s="32">
        <f>IF(AND(总览!$L$11&lt;&gt;"",B27*100+VALUE(LEFT(C27,LEN(C27)-1))&gt;=总览!$L$11),总览!$M$11,IF(AND(总览!$J$11&lt;&gt;"",B27*100+VALUE(LEFT(C27,LEN(C27)-1))&gt;=总览!$J$11),总览!$K$11,IF(AND(总览!$H$11&lt;&gt;"",B27*100+VALUE(LEFT(C27,LEN(C27)-1))&gt;=总览!$H$11),总览!$I$11,IF(AND(总览!$F$11&lt;&gt;"",B27*100+VALUE(LEFT(C27,LEN(C27)-1))&gt;=总览!$F$11),总览!$G$11,IF(AND(总览!$D$11&lt;&gt;"",B27*100+VALUE(LEFT(C27,LEN(C27)-1))&gt;=总览!$D$11),总览!$E$11,总览!$B$11)))))</f>
        <v/>
      </c>
      <c r="J27" s="32">
        <f>IF(OR(B27&gt;2027,AND(B27=2027,VALUE(LEFT(C27,LEN(C27)-1))&gt;=9)),IF(AND(总览!$L$12&lt;&gt;"",B27*100+VALUE(LEFT(C27,LEN(C27)-1))&gt;=总览!$L$12),总览!$M$12,IF(AND(总览!$J$12&lt;&gt;"",B27*100+VALUE(LEFT(C27,LEN(C27)-1))&gt;=总览!$J$12),总览!$K$12,IF(AND(总览!$H$12&lt;&gt;"",B27*100+VALUE(LEFT(C27,LEN(C27)-1))&gt;=总览!$H$12),总览!$I$12,IF(AND(总览!$F$12&lt;&gt;"",B27*100+VALUE(LEFT(C27,LEN(C27)-1))&gt;=总览!$F$12),总览!$G$12,IF(AND(总览!$D$12&lt;&gt;"",B27*100+VALUE(LEFT(C27,LEN(C27)-1))&gt;=总览!$D$12),总览!$E$12,总览!$B$12))))),0)</f>
        <v/>
      </c>
      <c r="K27" s="32">
        <f>IF(AND(B27=2026,C27="5月"),120000,IF(AND(B27=2027,C27="9月"),30000,IF(C27="10月",IF(AND(总览!$L$13&lt;&gt;"",B27*100+VALUE(LEFT(C27,LEN(C27)-1))&gt;=总览!$L$13),总览!$M$13,IF(AND(总览!$J$13&lt;&gt;"",B27*100+VALUE(LEFT(C27,LEN(C27)-1))&gt;=总览!$J$13),总览!$K$13,IF(AND(总览!$H$13&lt;&gt;"",B27*100+VALUE(LEFT(C27,LEN(C27)-1))&gt;=总览!$H$13),总览!$I$13,IF(AND(总览!$F$13&lt;&gt;"",B27*100+VALUE(LEFT(C27,LEN(C27)-1))&gt;=总览!$F$13),总览!$G$13,IF(AND(总览!$D$13&lt;&gt;"",B27*100+VALUE(LEFT(C27,LEN(C27)-1))&gt;=总览!$D$13),总览!$E$13,总览!$B$13))))),0)))</f>
        <v/>
      </c>
      <c r="L27" s="31" t="inlineStr"/>
      <c r="M27" s="32">
        <f>SUM(H27:K27)</f>
        <v/>
      </c>
      <c r="N27" s="32">
        <f>G27-M27</f>
        <v/>
      </c>
      <c r="O27" s="32">
        <f>O26+N27</f>
        <v/>
      </c>
    </row>
    <row r="28">
      <c r="A28" s="30" t="n">
        <v>27</v>
      </c>
      <c r="B28" s="30" t="n">
        <v>2028</v>
      </c>
      <c r="C28" s="30" t="inlineStr">
        <is>
          <t>4月</t>
        </is>
      </c>
      <c r="D28" s="11">
        <f>IF(AND(总览!$L$6&lt;&gt;"",B28*100+VALUE(LEFT(C28,LEN(C28)-1))&gt;=总览!$L$6),总览!$M$6,IF(AND(总览!$J$6&lt;&gt;"",B28*100+VALUE(LEFT(C28,LEN(C28)-1))&gt;=总览!$J$6),总览!$K$6,IF(AND(总览!$H$6&lt;&gt;"",B28*100+VALUE(LEFT(C28,LEN(C28)-1))&gt;=总览!$H$6),总览!$I$6,IF(AND(总览!$F$6&lt;&gt;"",B28*100+VALUE(LEFT(C28,LEN(C28)-1))&gt;=总览!$F$6),总览!$G$6,IF(AND(总览!$D$6&lt;&gt;"",B28*100+VALUE(LEFT(C28,LEN(C28)-1))&gt;=总览!$D$6),总览!$E$6,总览!$B$6)))))</f>
        <v/>
      </c>
      <c r="E28" s="11">
        <f>IF(C28="12月",IF(AND(总览!$L$7&lt;&gt;"",B28*100+VALUE(LEFT(C28,LEN(C28)-1))&gt;=总览!$L$7),总览!$M$7,IF(AND(总览!$J$7&lt;&gt;"",B28*100+VALUE(LEFT(C28,LEN(C28)-1))&gt;=总览!$J$7),总览!$K$7,IF(AND(总览!$H$7&lt;&gt;"",B28*100+VALUE(LEFT(C28,LEN(C28)-1))&gt;=总览!$H$7),总览!$I$7,IF(AND(总览!$F$7&lt;&gt;"",B28*100+VALUE(LEFT(C28,LEN(C28)-1))&gt;=总览!$F$7),总览!$G$7,IF(AND(总览!$D$7&lt;&gt;"",B28*100+VALUE(LEFT(C28,LEN(C28)-1))&gt;=总览!$D$7),总览!$E$7,总览!$B$7))))),0)</f>
        <v/>
      </c>
      <c r="F28" s="11">
        <f>ROUND(O27*总览!$B$14/12,0)</f>
        <v/>
      </c>
      <c r="G28" s="11">
        <f>D28+E28+F28</f>
        <v/>
      </c>
      <c r="H28" s="11">
        <f>IF(OR(B28&gt;2027,AND(B28=2027,VALUE(LEFT(C28,LEN(C28)-1))&gt;=9)),IF(AND(总览!$L$10&lt;&gt;"",B28*100+VALUE(LEFT(C28,LEN(C28)-1))&gt;=总览!$L$10),总览!$M$10,IF(AND(总览!$J$10&lt;&gt;"",B28*100+VALUE(LEFT(C28,LEN(C28)-1))&gt;=总览!$J$10),总览!$K$10,IF(AND(总览!$H$10&lt;&gt;"",B28*100+VALUE(LEFT(C28,LEN(C28)-1))&gt;=总览!$H$10),总览!$I$10,IF(AND(总览!$F$10&lt;&gt;"",B28*100+VALUE(LEFT(C28,LEN(C28)-1))&gt;=总览!$F$10),总览!$G$10,IF(AND(总览!$D$10&lt;&gt;"",B28*100+VALUE(LEFT(C28,LEN(C28)-1))&gt;=总览!$D$10),总览!$E$10,总览!$B$10))))),IF(AND(总览!$L$9&lt;&gt;"",B28*100+VALUE(LEFT(C28,LEN(C28)-1))&gt;=总览!$L$9),总览!$M$9,IF(AND(总览!$J$9&lt;&gt;"",B28*100+VALUE(LEFT(C28,LEN(C28)-1))&gt;=总览!$J$9),总览!$K$9,IF(AND(总览!$H$9&lt;&gt;"",B28*100+VALUE(LEFT(C28,LEN(C28)-1))&gt;=总览!$H$9),总览!$I$9,IF(AND(总览!$F$9&lt;&gt;"",B28*100+VALUE(LEFT(C28,LEN(C28)-1))&gt;=总览!$F$9),总览!$G$9,IF(AND(总览!$D$9&lt;&gt;"",B28*100+VALUE(LEFT(C28,LEN(C28)-1))&gt;=总览!$D$9),总览!$E$9,总览!$B$9))))))</f>
        <v/>
      </c>
      <c r="I28" s="11">
        <f>IF(AND(总览!$L$11&lt;&gt;"",B28*100+VALUE(LEFT(C28,LEN(C28)-1))&gt;=总览!$L$11),总览!$M$11,IF(AND(总览!$J$11&lt;&gt;"",B28*100+VALUE(LEFT(C28,LEN(C28)-1))&gt;=总览!$J$11),总览!$K$11,IF(AND(总览!$H$11&lt;&gt;"",B28*100+VALUE(LEFT(C28,LEN(C28)-1))&gt;=总览!$H$11),总览!$I$11,IF(AND(总览!$F$11&lt;&gt;"",B28*100+VALUE(LEFT(C28,LEN(C28)-1))&gt;=总览!$F$11),总览!$G$11,IF(AND(总览!$D$11&lt;&gt;"",B28*100+VALUE(LEFT(C28,LEN(C28)-1))&gt;=总览!$D$11),总览!$E$11,总览!$B$11)))))</f>
        <v/>
      </c>
      <c r="J28" s="11">
        <f>IF(OR(B28&gt;2027,AND(B28=2027,VALUE(LEFT(C28,LEN(C28)-1))&gt;=9)),IF(AND(总览!$L$12&lt;&gt;"",B28*100+VALUE(LEFT(C28,LEN(C28)-1))&gt;=总览!$L$12),总览!$M$12,IF(AND(总览!$J$12&lt;&gt;"",B28*100+VALUE(LEFT(C28,LEN(C28)-1))&gt;=总览!$J$12),总览!$K$12,IF(AND(总览!$H$12&lt;&gt;"",B28*100+VALUE(LEFT(C28,LEN(C28)-1))&gt;=总览!$H$12),总览!$I$12,IF(AND(总览!$F$12&lt;&gt;"",B28*100+VALUE(LEFT(C28,LEN(C28)-1))&gt;=总览!$F$12),总览!$G$12,IF(AND(总览!$D$12&lt;&gt;"",B28*100+VALUE(LEFT(C28,LEN(C28)-1))&gt;=总览!$D$12),总览!$E$12,总览!$B$12))))),0)</f>
        <v/>
      </c>
      <c r="K28" s="11">
        <f>IF(AND(B28=2026,C28="5月"),120000,IF(AND(B28=2027,C28="9月"),30000,IF(C28="10月",IF(AND(总览!$L$13&lt;&gt;"",B28*100+VALUE(LEFT(C28,LEN(C28)-1))&gt;=总览!$L$13),总览!$M$13,IF(AND(总览!$J$13&lt;&gt;"",B28*100+VALUE(LEFT(C28,LEN(C28)-1))&gt;=总览!$J$13),总览!$K$13,IF(AND(总览!$H$13&lt;&gt;"",B28*100+VALUE(LEFT(C28,LEN(C28)-1))&gt;=总览!$H$13),总览!$I$13,IF(AND(总览!$F$13&lt;&gt;"",B28*100+VALUE(LEFT(C28,LEN(C28)-1))&gt;=总览!$F$13),总览!$G$13,IF(AND(总览!$D$13&lt;&gt;"",B28*100+VALUE(LEFT(C28,LEN(C28)-1))&gt;=总览!$D$13),总览!$E$13,总览!$B$13))))),0)))</f>
        <v/>
      </c>
      <c r="L28" s="30" t="inlineStr"/>
      <c r="M28" s="11">
        <f>SUM(H28:K28)</f>
        <v/>
      </c>
      <c r="N28" s="11">
        <f>G28-M28</f>
        <v/>
      </c>
      <c r="O28" s="11">
        <f>O27+N28</f>
        <v/>
      </c>
    </row>
    <row r="29">
      <c r="A29" s="31" t="n">
        <v>28</v>
      </c>
      <c r="B29" s="31" t="n">
        <v>2028</v>
      </c>
      <c r="C29" s="31" t="inlineStr">
        <is>
          <t>5月</t>
        </is>
      </c>
      <c r="D29" s="32">
        <f>IF(AND(总览!$L$6&lt;&gt;"",B29*100+VALUE(LEFT(C29,LEN(C29)-1))&gt;=总览!$L$6),总览!$M$6,IF(AND(总览!$J$6&lt;&gt;"",B29*100+VALUE(LEFT(C29,LEN(C29)-1))&gt;=总览!$J$6),总览!$K$6,IF(AND(总览!$H$6&lt;&gt;"",B29*100+VALUE(LEFT(C29,LEN(C29)-1))&gt;=总览!$H$6),总览!$I$6,IF(AND(总览!$F$6&lt;&gt;"",B29*100+VALUE(LEFT(C29,LEN(C29)-1))&gt;=总览!$F$6),总览!$G$6,IF(AND(总览!$D$6&lt;&gt;"",B29*100+VALUE(LEFT(C29,LEN(C29)-1))&gt;=总览!$D$6),总览!$E$6,总览!$B$6)))))</f>
        <v/>
      </c>
      <c r="E29" s="32">
        <f>IF(C29="12月",IF(AND(总览!$L$7&lt;&gt;"",B29*100+VALUE(LEFT(C29,LEN(C29)-1))&gt;=总览!$L$7),总览!$M$7,IF(AND(总览!$J$7&lt;&gt;"",B29*100+VALUE(LEFT(C29,LEN(C29)-1))&gt;=总览!$J$7),总览!$K$7,IF(AND(总览!$H$7&lt;&gt;"",B29*100+VALUE(LEFT(C29,LEN(C29)-1))&gt;=总览!$H$7),总览!$I$7,IF(AND(总览!$F$7&lt;&gt;"",B29*100+VALUE(LEFT(C29,LEN(C29)-1))&gt;=总览!$F$7),总览!$G$7,IF(AND(总览!$D$7&lt;&gt;"",B29*100+VALUE(LEFT(C29,LEN(C29)-1))&gt;=总览!$D$7),总览!$E$7,总览!$B$7))))),0)</f>
        <v/>
      </c>
      <c r="F29" s="32">
        <f>ROUND(O28*总览!$B$14/12,0)</f>
        <v/>
      </c>
      <c r="G29" s="32">
        <f>D29+E29+F29</f>
        <v/>
      </c>
      <c r="H29" s="32">
        <f>IF(OR(B29&gt;2027,AND(B29=2027,VALUE(LEFT(C29,LEN(C29)-1))&gt;=9)),IF(AND(总览!$L$10&lt;&gt;"",B29*100+VALUE(LEFT(C29,LEN(C29)-1))&gt;=总览!$L$10),总览!$M$10,IF(AND(总览!$J$10&lt;&gt;"",B29*100+VALUE(LEFT(C29,LEN(C29)-1))&gt;=总览!$J$10),总览!$K$10,IF(AND(总览!$H$10&lt;&gt;"",B29*100+VALUE(LEFT(C29,LEN(C29)-1))&gt;=总览!$H$10),总览!$I$10,IF(AND(总览!$F$10&lt;&gt;"",B29*100+VALUE(LEFT(C29,LEN(C29)-1))&gt;=总览!$F$10),总览!$G$10,IF(AND(总览!$D$10&lt;&gt;"",B29*100+VALUE(LEFT(C29,LEN(C29)-1))&gt;=总览!$D$10),总览!$E$10,总览!$B$10))))),IF(AND(总览!$L$9&lt;&gt;"",B29*100+VALUE(LEFT(C29,LEN(C29)-1))&gt;=总览!$L$9),总览!$M$9,IF(AND(总览!$J$9&lt;&gt;"",B29*100+VALUE(LEFT(C29,LEN(C29)-1))&gt;=总览!$J$9),总览!$K$9,IF(AND(总览!$H$9&lt;&gt;"",B29*100+VALUE(LEFT(C29,LEN(C29)-1))&gt;=总览!$H$9),总览!$I$9,IF(AND(总览!$F$9&lt;&gt;"",B29*100+VALUE(LEFT(C29,LEN(C29)-1))&gt;=总览!$F$9),总览!$G$9,IF(AND(总览!$D$9&lt;&gt;"",B29*100+VALUE(LEFT(C29,LEN(C29)-1))&gt;=总览!$D$9),总览!$E$9,总览!$B$9))))))</f>
        <v/>
      </c>
      <c r="I29" s="32">
        <f>IF(AND(总览!$L$11&lt;&gt;"",B29*100+VALUE(LEFT(C29,LEN(C29)-1))&gt;=总览!$L$11),总览!$M$11,IF(AND(总览!$J$11&lt;&gt;"",B29*100+VALUE(LEFT(C29,LEN(C29)-1))&gt;=总览!$J$11),总览!$K$11,IF(AND(总览!$H$11&lt;&gt;"",B29*100+VALUE(LEFT(C29,LEN(C29)-1))&gt;=总览!$H$11),总览!$I$11,IF(AND(总览!$F$11&lt;&gt;"",B29*100+VALUE(LEFT(C29,LEN(C29)-1))&gt;=总览!$F$11),总览!$G$11,IF(AND(总览!$D$11&lt;&gt;"",B29*100+VALUE(LEFT(C29,LEN(C29)-1))&gt;=总览!$D$11),总览!$E$11,总览!$B$11)))))</f>
        <v/>
      </c>
      <c r="J29" s="32">
        <f>IF(OR(B29&gt;2027,AND(B29=2027,VALUE(LEFT(C29,LEN(C29)-1))&gt;=9)),IF(AND(总览!$L$12&lt;&gt;"",B29*100+VALUE(LEFT(C29,LEN(C29)-1))&gt;=总览!$L$12),总览!$M$12,IF(AND(总览!$J$12&lt;&gt;"",B29*100+VALUE(LEFT(C29,LEN(C29)-1))&gt;=总览!$J$12),总览!$K$12,IF(AND(总览!$H$12&lt;&gt;"",B29*100+VALUE(LEFT(C29,LEN(C29)-1))&gt;=总览!$H$12),总览!$I$12,IF(AND(总览!$F$12&lt;&gt;"",B29*100+VALUE(LEFT(C29,LEN(C29)-1))&gt;=总览!$F$12),总览!$G$12,IF(AND(总览!$D$12&lt;&gt;"",B29*100+VALUE(LEFT(C29,LEN(C29)-1))&gt;=总览!$D$12),总览!$E$12,总览!$B$12))))),0)</f>
        <v/>
      </c>
      <c r="K29" s="32">
        <f>IF(AND(B29=2026,C29="5月"),120000,IF(AND(B29=2027,C29="9月"),30000,IF(C29="10月",IF(AND(总览!$L$13&lt;&gt;"",B29*100+VALUE(LEFT(C29,LEN(C29)-1))&gt;=总览!$L$13),总览!$M$13,IF(AND(总览!$J$13&lt;&gt;"",B29*100+VALUE(LEFT(C29,LEN(C29)-1))&gt;=总览!$J$13),总览!$K$13,IF(AND(总览!$H$13&lt;&gt;"",B29*100+VALUE(LEFT(C29,LEN(C29)-1))&gt;=总览!$H$13),总览!$I$13,IF(AND(总览!$F$13&lt;&gt;"",B29*100+VALUE(LEFT(C29,LEN(C29)-1))&gt;=总览!$F$13),总览!$G$13,IF(AND(总览!$D$13&lt;&gt;"",B29*100+VALUE(LEFT(C29,LEN(C29)-1))&gt;=总览!$D$13),总览!$E$13,总览!$B$13))))),0)))</f>
        <v/>
      </c>
      <c r="L29" s="31" t="inlineStr"/>
      <c r="M29" s="32">
        <f>SUM(H29:K29)</f>
        <v/>
      </c>
      <c r="N29" s="32">
        <f>G29-M29</f>
        <v/>
      </c>
      <c r="O29" s="32">
        <f>O28+N29</f>
        <v/>
      </c>
    </row>
    <row r="30">
      <c r="A30" s="30" t="n">
        <v>29</v>
      </c>
      <c r="B30" s="30" t="n">
        <v>2028</v>
      </c>
      <c r="C30" s="30" t="inlineStr">
        <is>
          <t>6月</t>
        </is>
      </c>
      <c r="D30" s="11">
        <f>IF(AND(总览!$L$6&lt;&gt;"",B30*100+VALUE(LEFT(C30,LEN(C30)-1))&gt;=总览!$L$6),总览!$M$6,IF(AND(总览!$J$6&lt;&gt;"",B30*100+VALUE(LEFT(C30,LEN(C30)-1))&gt;=总览!$J$6),总览!$K$6,IF(AND(总览!$H$6&lt;&gt;"",B30*100+VALUE(LEFT(C30,LEN(C30)-1))&gt;=总览!$H$6),总览!$I$6,IF(AND(总览!$F$6&lt;&gt;"",B30*100+VALUE(LEFT(C30,LEN(C30)-1))&gt;=总览!$F$6),总览!$G$6,IF(AND(总览!$D$6&lt;&gt;"",B30*100+VALUE(LEFT(C30,LEN(C30)-1))&gt;=总览!$D$6),总览!$E$6,总览!$B$6)))))</f>
        <v/>
      </c>
      <c r="E30" s="11">
        <f>IF(C30="12月",IF(AND(总览!$L$7&lt;&gt;"",B30*100+VALUE(LEFT(C30,LEN(C30)-1))&gt;=总览!$L$7),总览!$M$7,IF(AND(总览!$J$7&lt;&gt;"",B30*100+VALUE(LEFT(C30,LEN(C30)-1))&gt;=总览!$J$7),总览!$K$7,IF(AND(总览!$H$7&lt;&gt;"",B30*100+VALUE(LEFT(C30,LEN(C30)-1))&gt;=总览!$H$7),总览!$I$7,IF(AND(总览!$F$7&lt;&gt;"",B30*100+VALUE(LEFT(C30,LEN(C30)-1))&gt;=总览!$F$7),总览!$G$7,IF(AND(总览!$D$7&lt;&gt;"",B30*100+VALUE(LEFT(C30,LEN(C30)-1))&gt;=总览!$D$7),总览!$E$7,总览!$B$7))))),0)</f>
        <v/>
      </c>
      <c r="F30" s="11">
        <f>ROUND(O29*总览!$B$14/12,0)</f>
        <v/>
      </c>
      <c r="G30" s="11">
        <f>D30+E30+F30</f>
        <v/>
      </c>
      <c r="H30" s="11">
        <f>IF(OR(B30&gt;2027,AND(B30=2027,VALUE(LEFT(C30,LEN(C30)-1))&gt;=9)),IF(AND(总览!$L$10&lt;&gt;"",B30*100+VALUE(LEFT(C30,LEN(C30)-1))&gt;=总览!$L$10),总览!$M$10,IF(AND(总览!$J$10&lt;&gt;"",B30*100+VALUE(LEFT(C30,LEN(C30)-1))&gt;=总览!$J$10),总览!$K$10,IF(AND(总览!$H$10&lt;&gt;"",B30*100+VALUE(LEFT(C30,LEN(C30)-1))&gt;=总览!$H$10),总览!$I$10,IF(AND(总览!$F$10&lt;&gt;"",B30*100+VALUE(LEFT(C30,LEN(C30)-1))&gt;=总览!$F$10),总览!$G$10,IF(AND(总览!$D$10&lt;&gt;"",B30*100+VALUE(LEFT(C30,LEN(C30)-1))&gt;=总览!$D$10),总览!$E$10,总览!$B$10))))),IF(AND(总览!$L$9&lt;&gt;"",B30*100+VALUE(LEFT(C30,LEN(C30)-1))&gt;=总览!$L$9),总览!$M$9,IF(AND(总览!$J$9&lt;&gt;"",B30*100+VALUE(LEFT(C30,LEN(C30)-1))&gt;=总览!$J$9),总览!$K$9,IF(AND(总览!$H$9&lt;&gt;"",B30*100+VALUE(LEFT(C30,LEN(C30)-1))&gt;=总览!$H$9),总览!$I$9,IF(AND(总览!$F$9&lt;&gt;"",B30*100+VALUE(LEFT(C30,LEN(C30)-1))&gt;=总览!$F$9),总览!$G$9,IF(AND(总览!$D$9&lt;&gt;"",B30*100+VALUE(LEFT(C30,LEN(C30)-1))&gt;=总览!$D$9),总览!$E$9,总览!$B$9))))))</f>
        <v/>
      </c>
      <c r="I30" s="11">
        <f>IF(AND(总览!$L$11&lt;&gt;"",B30*100+VALUE(LEFT(C30,LEN(C30)-1))&gt;=总览!$L$11),总览!$M$11,IF(AND(总览!$J$11&lt;&gt;"",B30*100+VALUE(LEFT(C30,LEN(C30)-1))&gt;=总览!$J$11),总览!$K$11,IF(AND(总览!$H$11&lt;&gt;"",B30*100+VALUE(LEFT(C30,LEN(C30)-1))&gt;=总览!$H$11),总览!$I$11,IF(AND(总览!$F$11&lt;&gt;"",B30*100+VALUE(LEFT(C30,LEN(C30)-1))&gt;=总览!$F$11),总览!$G$11,IF(AND(总览!$D$11&lt;&gt;"",B30*100+VALUE(LEFT(C30,LEN(C30)-1))&gt;=总览!$D$11),总览!$E$11,总览!$B$11)))))</f>
        <v/>
      </c>
      <c r="J30" s="11">
        <f>IF(OR(B30&gt;2027,AND(B30=2027,VALUE(LEFT(C30,LEN(C30)-1))&gt;=9)),IF(AND(总览!$L$12&lt;&gt;"",B30*100+VALUE(LEFT(C30,LEN(C30)-1))&gt;=总览!$L$12),总览!$M$12,IF(AND(总览!$J$12&lt;&gt;"",B30*100+VALUE(LEFT(C30,LEN(C30)-1))&gt;=总览!$J$12),总览!$K$12,IF(AND(总览!$H$12&lt;&gt;"",B30*100+VALUE(LEFT(C30,LEN(C30)-1))&gt;=总览!$H$12),总览!$I$12,IF(AND(总览!$F$12&lt;&gt;"",B30*100+VALUE(LEFT(C30,LEN(C30)-1))&gt;=总览!$F$12),总览!$G$12,IF(AND(总览!$D$12&lt;&gt;"",B30*100+VALUE(LEFT(C30,LEN(C30)-1))&gt;=总览!$D$12),总览!$E$12,总览!$B$12))))),0)</f>
        <v/>
      </c>
      <c r="K30" s="11">
        <f>IF(AND(B30=2026,C30="5月"),120000,IF(AND(B30=2027,C30="9月"),30000,IF(C30="10月",IF(AND(总览!$L$13&lt;&gt;"",B30*100+VALUE(LEFT(C30,LEN(C30)-1))&gt;=总览!$L$13),总览!$M$13,IF(AND(总览!$J$13&lt;&gt;"",B30*100+VALUE(LEFT(C30,LEN(C30)-1))&gt;=总览!$J$13),总览!$K$13,IF(AND(总览!$H$13&lt;&gt;"",B30*100+VALUE(LEFT(C30,LEN(C30)-1))&gt;=总览!$H$13),总览!$I$13,IF(AND(总览!$F$13&lt;&gt;"",B30*100+VALUE(LEFT(C30,LEN(C30)-1))&gt;=总览!$F$13),总览!$G$13,IF(AND(总览!$D$13&lt;&gt;"",B30*100+VALUE(LEFT(C30,LEN(C30)-1))&gt;=总览!$D$13),总览!$E$13,总览!$B$13))))),0)))</f>
        <v/>
      </c>
      <c r="L30" s="30" t="inlineStr"/>
      <c r="M30" s="11">
        <f>SUM(H30:K30)</f>
        <v/>
      </c>
      <c r="N30" s="11">
        <f>G30-M30</f>
        <v/>
      </c>
      <c r="O30" s="11">
        <f>O29+N30</f>
        <v/>
      </c>
    </row>
    <row r="31">
      <c r="A31" s="31" t="n">
        <v>30</v>
      </c>
      <c r="B31" s="31" t="n">
        <v>2028</v>
      </c>
      <c r="C31" s="31" t="inlineStr">
        <is>
          <t>7月</t>
        </is>
      </c>
      <c r="D31" s="32">
        <f>IF(AND(总览!$L$6&lt;&gt;"",B31*100+VALUE(LEFT(C31,LEN(C31)-1))&gt;=总览!$L$6),总览!$M$6,IF(AND(总览!$J$6&lt;&gt;"",B31*100+VALUE(LEFT(C31,LEN(C31)-1))&gt;=总览!$J$6),总览!$K$6,IF(AND(总览!$H$6&lt;&gt;"",B31*100+VALUE(LEFT(C31,LEN(C31)-1))&gt;=总览!$H$6),总览!$I$6,IF(AND(总览!$F$6&lt;&gt;"",B31*100+VALUE(LEFT(C31,LEN(C31)-1))&gt;=总览!$F$6),总览!$G$6,IF(AND(总览!$D$6&lt;&gt;"",B31*100+VALUE(LEFT(C31,LEN(C31)-1))&gt;=总览!$D$6),总览!$E$6,总览!$B$6)))))</f>
        <v/>
      </c>
      <c r="E31" s="32">
        <f>IF(C31="12月",IF(AND(总览!$L$7&lt;&gt;"",B31*100+VALUE(LEFT(C31,LEN(C31)-1))&gt;=总览!$L$7),总览!$M$7,IF(AND(总览!$J$7&lt;&gt;"",B31*100+VALUE(LEFT(C31,LEN(C31)-1))&gt;=总览!$J$7),总览!$K$7,IF(AND(总览!$H$7&lt;&gt;"",B31*100+VALUE(LEFT(C31,LEN(C31)-1))&gt;=总览!$H$7),总览!$I$7,IF(AND(总览!$F$7&lt;&gt;"",B31*100+VALUE(LEFT(C31,LEN(C31)-1))&gt;=总览!$F$7),总览!$G$7,IF(AND(总览!$D$7&lt;&gt;"",B31*100+VALUE(LEFT(C31,LEN(C31)-1))&gt;=总览!$D$7),总览!$E$7,总览!$B$7))))),0)</f>
        <v/>
      </c>
      <c r="F31" s="32">
        <f>ROUND(O30*总览!$B$14/12,0)</f>
        <v/>
      </c>
      <c r="G31" s="32">
        <f>D31+E31+F31</f>
        <v/>
      </c>
      <c r="H31" s="32">
        <f>IF(OR(B31&gt;2027,AND(B31=2027,VALUE(LEFT(C31,LEN(C31)-1))&gt;=9)),IF(AND(总览!$L$10&lt;&gt;"",B31*100+VALUE(LEFT(C31,LEN(C31)-1))&gt;=总览!$L$10),总览!$M$10,IF(AND(总览!$J$10&lt;&gt;"",B31*100+VALUE(LEFT(C31,LEN(C31)-1))&gt;=总览!$J$10),总览!$K$10,IF(AND(总览!$H$10&lt;&gt;"",B31*100+VALUE(LEFT(C31,LEN(C31)-1))&gt;=总览!$H$10),总览!$I$10,IF(AND(总览!$F$10&lt;&gt;"",B31*100+VALUE(LEFT(C31,LEN(C31)-1))&gt;=总览!$F$10),总览!$G$10,IF(AND(总览!$D$10&lt;&gt;"",B31*100+VALUE(LEFT(C31,LEN(C31)-1))&gt;=总览!$D$10),总览!$E$10,总览!$B$10))))),IF(AND(总览!$L$9&lt;&gt;"",B31*100+VALUE(LEFT(C31,LEN(C31)-1))&gt;=总览!$L$9),总览!$M$9,IF(AND(总览!$J$9&lt;&gt;"",B31*100+VALUE(LEFT(C31,LEN(C31)-1))&gt;=总览!$J$9),总览!$K$9,IF(AND(总览!$H$9&lt;&gt;"",B31*100+VALUE(LEFT(C31,LEN(C31)-1))&gt;=总览!$H$9),总览!$I$9,IF(AND(总览!$F$9&lt;&gt;"",B31*100+VALUE(LEFT(C31,LEN(C31)-1))&gt;=总览!$F$9),总览!$G$9,IF(AND(总览!$D$9&lt;&gt;"",B31*100+VALUE(LEFT(C31,LEN(C31)-1))&gt;=总览!$D$9),总览!$E$9,总览!$B$9))))))</f>
        <v/>
      </c>
      <c r="I31" s="32">
        <f>IF(AND(总览!$L$11&lt;&gt;"",B31*100+VALUE(LEFT(C31,LEN(C31)-1))&gt;=总览!$L$11),总览!$M$11,IF(AND(总览!$J$11&lt;&gt;"",B31*100+VALUE(LEFT(C31,LEN(C31)-1))&gt;=总览!$J$11),总览!$K$11,IF(AND(总览!$H$11&lt;&gt;"",B31*100+VALUE(LEFT(C31,LEN(C31)-1))&gt;=总览!$H$11),总览!$I$11,IF(AND(总览!$F$11&lt;&gt;"",B31*100+VALUE(LEFT(C31,LEN(C31)-1))&gt;=总览!$F$11),总览!$G$11,IF(AND(总览!$D$11&lt;&gt;"",B31*100+VALUE(LEFT(C31,LEN(C31)-1))&gt;=总览!$D$11),总览!$E$11,总览!$B$11)))))</f>
        <v/>
      </c>
      <c r="J31" s="32">
        <f>IF(OR(B31&gt;2027,AND(B31=2027,VALUE(LEFT(C31,LEN(C31)-1))&gt;=9)),IF(AND(总览!$L$12&lt;&gt;"",B31*100+VALUE(LEFT(C31,LEN(C31)-1))&gt;=总览!$L$12),总览!$M$12,IF(AND(总览!$J$12&lt;&gt;"",B31*100+VALUE(LEFT(C31,LEN(C31)-1))&gt;=总览!$J$12),总览!$K$12,IF(AND(总览!$H$12&lt;&gt;"",B31*100+VALUE(LEFT(C31,LEN(C31)-1))&gt;=总览!$H$12),总览!$I$12,IF(AND(总览!$F$12&lt;&gt;"",B31*100+VALUE(LEFT(C31,LEN(C31)-1))&gt;=总览!$F$12),总览!$G$12,IF(AND(总览!$D$12&lt;&gt;"",B31*100+VALUE(LEFT(C31,LEN(C31)-1))&gt;=总览!$D$12),总览!$E$12,总览!$B$12))))),0)</f>
        <v/>
      </c>
      <c r="K31" s="32">
        <f>IF(AND(B31=2026,C31="5月"),120000,IF(AND(B31=2027,C31="9月"),30000,IF(C31="10月",IF(AND(总览!$L$13&lt;&gt;"",B31*100+VALUE(LEFT(C31,LEN(C31)-1))&gt;=总览!$L$13),总览!$M$13,IF(AND(总览!$J$13&lt;&gt;"",B31*100+VALUE(LEFT(C31,LEN(C31)-1))&gt;=总览!$J$13),总览!$K$13,IF(AND(总览!$H$13&lt;&gt;"",B31*100+VALUE(LEFT(C31,LEN(C31)-1))&gt;=总览!$H$13),总览!$I$13,IF(AND(总览!$F$13&lt;&gt;"",B31*100+VALUE(LEFT(C31,LEN(C31)-1))&gt;=总览!$F$13),总览!$G$13,IF(AND(总览!$D$13&lt;&gt;"",B31*100+VALUE(LEFT(C31,LEN(C31)-1))&gt;=总览!$D$13),总览!$E$13,总览!$B$13))))),0)))</f>
        <v/>
      </c>
      <c r="L31" s="31" t="inlineStr"/>
      <c r="M31" s="32">
        <f>SUM(H31:K31)</f>
        <v/>
      </c>
      <c r="N31" s="32">
        <f>G31-M31</f>
        <v/>
      </c>
      <c r="O31" s="32">
        <f>O30+N31</f>
        <v/>
      </c>
    </row>
    <row r="32">
      <c r="A32" s="30" t="n">
        <v>31</v>
      </c>
      <c r="B32" s="30" t="n">
        <v>2028</v>
      </c>
      <c r="C32" s="30" t="inlineStr">
        <is>
          <t>8月</t>
        </is>
      </c>
      <c r="D32" s="11">
        <f>IF(AND(总览!$L$6&lt;&gt;"",B32*100+VALUE(LEFT(C32,LEN(C32)-1))&gt;=总览!$L$6),总览!$M$6,IF(AND(总览!$J$6&lt;&gt;"",B32*100+VALUE(LEFT(C32,LEN(C32)-1))&gt;=总览!$J$6),总览!$K$6,IF(AND(总览!$H$6&lt;&gt;"",B32*100+VALUE(LEFT(C32,LEN(C32)-1))&gt;=总览!$H$6),总览!$I$6,IF(AND(总览!$F$6&lt;&gt;"",B32*100+VALUE(LEFT(C32,LEN(C32)-1))&gt;=总览!$F$6),总览!$G$6,IF(AND(总览!$D$6&lt;&gt;"",B32*100+VALUE(LEFT(C32,LEN(C32)-1))&gt;=总览!$D$6),总览!$E$6,总览!$B$6)))))</f>
        <v/>
      </c>
      <c r="E32" s="11">
        <f>IF(C32="12月",IF(AND(总览!$L$7&lt;&gt;"",B32*100+VALUE(LEFT(C32,LEN(C32)-1))&gt;=总览!$L$7),总览!$M$7,IF(AND(总览!$J$7&lt;&gt;"",B32*100+VALUE(LEFT(C32,LEN(C32)-1))&gt;=总览!$J$7),总览!$K$7,IF(AND(总览!$H$7&lt;&gt;"",B32*100+VALUE(LEFT(C32,LEN(C32)-1))&gt;=总览!$H$7),总览!$I$7,IF(AND(总览!$F$7&lt;&gt;"",B32*100+VALUE(LEFT(C32,LEN(C32)-1))&gt;=总览!$F$7),总览!$G$7,IF(AND(总览!$D$7&lt;&gt;"",B32*100+VALUE(LEFT(C32,LEN(C32)-1))&gt;=总览!$D$7),总览!$E$7,总览!$B$7))))),0)</f>
        <v/>
      </c>
      <c r="F32" s="11">
        <f>ROUND(O31*总览!$B$14/12,0)</f>
        <v/>
      </c>
      <c r="G32" s="11">
        <f>D32+E32+F32</f>
        <v/>
      </c>
      <c r="H32" s="11">
        <f>IF(OR(B32&gt;2027,AND(B32=2027,VALUE(LEFT(C32,LEN(C32)-1))&gt;=9)),IF(AND(总览!$L$10&lt;&gt;"",B32*100+VALUE(LEFT(C32,LEN(C32)-1))&gt;=总览!$L$10),总览!$M$10,IF(AND(总览!$J$10&lt;&gt;"",B32*100+VALUE(LEFT(C32,LEN(C32)-1))&gt;=总览!$J$10),总览!$K$10,IF(AND(总览!$H$10&lt;&gt;"",B32*100+VALUE(LEFT(C32,LEN(C32)-1))&gt;=总览!$H$10),总览!$I$10,IF(AND(总览!$F$10&lt;&gt;"",B32*100+VALUE(LEFT(C32,LEN(C32)-1))&gt;=总览!$F$10),总览!$G$10,IF(AND(总览!$D$10&lt;&gt;"",B32*100+VALUE(LEFT(C32,LEN(C32)-1))&gt;=总览!$D$10),总览!$E$10,总览!$B$10))))),IF(AND(总览!$L$9&lt;&gt;"",B32*100+VALUE(LEFT(C32,LEN(C32)-1))&gt;=总览!$L$9),总览!$M$9,IF(AND(总览!$J$9&lt;&gt;"",B32*100+VALUE(LEFT(C32,LEN(C32)-1))&gt;=总览!$J$9),总览!$K$9,IF(AND(总览!$H$9&lt;&gt;"",B32*100+VALUE(LEFT(C32,LEN(C32)-1))&gt;=总览!$H$9),总览!$I$9,IF(AND(总览!$F$9&lt;&gt;"",B32*100+VALUE(LEFT(C32,LEN(C32)-1))&gt;=总览!$F$9),总览!$G$9,IF(AND(总览!$D$9&lt;&gt;"",B32*100+VALUE(LEFT(C32,LEN(C32)-1))&gt;=总览!$D$9),总览!$E$9,总览!$B$9))))))</f>
        <v/>
      </c>
      <c r="I32" s="11">
        <f>IF(AND(总览!$L$11&lt;&gt;"",B32*100+VALUE(LEFT(C32,LEN(C32)-1))&gt;=总览!$L$11),总览!$M$11,IF(AND(总览!$J$11&lt;&gt;"",B32*100+VALUE(LEFT(C32,LEN(C32)-1))&gt;=总览!$J$11),总览!$K$11,IF(AND(总览!$H$11&lt;&gt;"",B32*100+VALUE(LEFT(C32,LEN(C32)-1))&gt;=总览!$H$11),总览!$I$11,IF(AND(总览!$F$11&lt;&gt;"",B32*100+VALUE(LEFT(C32,LEN(C32)-1))&gt;=总览!$F$11),总览!$G$11,IF(AND(总览!$D$11&lt;&gt;"",B32*100+VALUE(LEFT(C32,LEN(C32)-1))&gt;=总览!$D$11),总览!$E$11,总览!$B$11)))))</f>
        <v/>
      </c>
      <c r="J32" s="11">
        <f>IF(OR(B32&gt;2027,AND(B32=2027,VALUE(LEFT(C32,LEN(C32)-1))&gt;=9)),IF(AND(总览!$L$12&lt;&gt;"",B32*100+VALUE(LEFT(C32,LEN(C32)-1))&gt;=总览!$L$12),总览!$M$12,IF(AND(总览!$J$12&lt;&gt;"",B32*100+VALUE(LEFT(C32,LEN(C32)-1))&gt;=总览!$J$12),总览!$K$12,IF(AND(总览!$H$12&lt;&gt;"",B32*100+VALUE(LEFT(C32,LEN(C32)-1))&gt;=总览!$H$12),总览!$I$12,IF(AND(总览!$F$12&lt;&gt;"",B32*100+VALUE(LEFT(C32,LEN(C32)-1))&gt;=总览!$F$12),总览!$G$12,IF(AND(总览!$D$12&lt;&gt;"",B32*100+VALUE(LEFT(C32,LEN(C32)-1))&gt;=总览!$D$12),总览!$E$12,总览!$B$12))))),0)</f>
        <v/>
      </c>
      <c r="K32" s="11">
        <f>IF(AND(B32=2026,C32="5月"),120000,IF(AND(B32=2027,C32="9月"),30000,IF(C32="10月",IF(AND(总览!$L$13&lt;&gt;"",B32*100+VALUE(LEFT(C32,LEN(C32)-1))&gt;=总览!$L$13),总览!$M$13,IF(AND(总览!$J$13&lt;&gt;"",B32*100+VALUE(LEFT(C32,LEN(C32)-1))&gt;=总览!$J$13),总览!$K$13,IF(AND(总览!$H$13&lt;&gt;"",B32*100+VALUE(LEFT(C32,LEN(C32)-1))&gt;=总览!$H$13),总览!$I$13,IF(AND(总览!$F$13&lt;&gt;"",B32*100+VALUE(LEFT(C32,LEN(C32)-1))&gt;=总览!$F$13),总览!$G$13,IF(AND(总览!$D$13&lt;&gt;"",B32*100+VALUE(LEFT(C32,LEN(C32)-1))&gt;=总览!$D$13),总览!$E$13,总览!$B$13))))),0)))</f>
        <v/>
      </c>
      <c r="L32" s="30" t="inlineStr"/>
      <c r="M32" s="11">
        <f>SUM(H32:K32)</f>
        <v/>
      </c>
      <c r="N32" s="11">
        <f>G32-M32</f>
        <v/>
      </c>
      <c r="O32" s="11">
        <f>O31+N32</f>
        <v/>
      </c>
    </row>
    <row r="33">
      <c r="A33" s="31" t="n">
        <v>32</v>
      </c>
      <c r="B33" s="31" t="n">
        <v>2028</v>
      </c>
      <c r="C33" s="31" t="inlineStr">
        <is>
          <t>9月</t>
        </is>
      </c>
      <c r="D33" s="32">
        <f>IF(AND(总览!$L$6&lt;&gt;"",B33*100+VALUE(LEFT(C33,LEN(C33)-1))&gt;=总览!$L$6),总览!$M$6,IF(AND(总览!$J$6&lt;&gt;"",B33*100+VALUE(LEFT(C33,LEN(C33)-1))&gt;=总览!$J$6),总览!$K$6,IF(AND(总览!$H$6&lt;&gt;"",B33*100+VALUE(LEFT(C33,LEN(C33)-1))&gt;=总览!$H$6),总览!$I$6,IF(AND(总览!$F$6&lt;&gt;"",B33*100+VALUE(LEFT(C33,LEN(C33)-1))&gt;=总览!$F$6),总览!$G$6,IF(AND(总览!$D$6&lt;&gt;"",B33*100+VALUE(LEFT(C33,LEN(C33)-1))&gt;=总览!$D$6),总览!$E$6,总览!$B$6)))))</f>
        <v/>
      </c>
      <c r="E33" s="32">
        <f>IF(C33="12月",IF(AND(总览!$L$7&lt;&gt;"",B33*100+VALUE(LEFT(C33,LEN(C33)-1))&gt;=总览!$L$7),总览!$M$7,IF(AND(总览!$J$7&lt;&gt;"",B33*100+VALUE(LEFT(C33,LEN(C33)-1))&gt;=总览!$J$7),总览!$K$7,IF(AND(总览!$H$7&lt;&gt;"",B33*100+VALUE(LEFT(C33,LEN(C33)-1))&gt;=总览!$H$7),总览!$I$7,IF(AND(总览!$F$7&lt;&gt;"",B33*100+VALUE(LEFT(C33,LEN(C33)-1))&gt;=总览!$F$7),总览!$G$7,IF(AND(总览!$D$7&lt;&gt;"",B33*100+VALUE(LEFT(C33,LEN(C33)-1))&gt;=总览!$D$7),总览!$E$7,总览!$B$7))))),0)</f>
        <v/>
      </c>
      <c r="F33" s="32">
        <f>ROUND(O32*总览!$B$14/12,0)</f>
        <v/>
      </c>
      <c r="G33" s="32">
        <f>D33+E33+F33</f>
        <v/>
      </c>
      <c r="H33" s="32">
        <f>IF(OR(B33&gt;2027,AND(B33=2027,VALUE(LEFT(C33,LEN(C33)-1))&gt;=9)),IF(AND(总览!$L$10&lt;&gt;"",B33*100+VALUE(LEFT(C33,LEN(C33)-1))&gt;=总览!$L$10),总览!$M$10,IF(AND(总览!$J$10&lt;&gt;"",B33*100+VALUE(LEFT(C33,LEN(C33)-1))&gt;=总览!$J$10),总览!$K$10,IF(AND(总览!$H$10&lt;&gt;"",B33*100+VALUE(LEFT(C33,LEN(C33)-1))&gt;=总览!$H$10),总览!$I$10,IF(AND(总览!$F$10&lt;&gt;"",B33*100+VALUE(LEFT(C33,LEN(C33)-1))&gt;=总览!$F$10),总览!$G$10,IF(AND(总览!$D$10&lt;&gt;"",B33*100+VALUE(LEFT(C33,LEN(C33)-1))&gt;=总览!$D$10),总览!$E$10,总览!$B$10))))),IF(AND(总览!$L$9&lt;&gt;"",B33*100+VALUE(LEFT(C33,LEN(C33)-1))&gt;=总览!$L$9),总览!$M$9,IF(AND(总览!$J$9&lt;&gt;"",B33*100+VALUE(LEFT(C33,LEN(C33)-1))&gt;=总览!$J$9),总览!$K$9,IF(AND(总览!$H$9&lt;&gt;"",B33*100+VALUE(LEFT(C33,LEN(C33)-1))&gt;=总览!$H$9),总览!$I$9,IF(AND(总览!$F$9&lt;&gt;"",B33*100+VALUE(LEFT(C33,LEN(C33)-1))&gt;=总览!$F$9),总览!$G$9,IF(AND(总览!$D$9&lt;&gt;"",B33*100+VALUE(LEFT(C33,LEN(C33)-1))&gt;=总览!$D$9),总览!$E$9,总览!$B$9))))))</f>
        <v/>
      </c>
      <c r="I33" s="32">
        <f>IF(AND(总览!$L$11&lt;&gt;"",B33*100+VALUE(LEFT(C33,LEN(C33)-1))&gt;=总览!$L$11),总览!$M$11,IF(AND(总览!$J$11&lt;&gt;"",B33*100+VALUE(LEFT(C33,LEN(C33)-1))&gt;=总览!$J$11),总览!$K$11,IF(AND(总览!$H$11&lt;&gt;"",B33*100+VALUE(LEFT(C33,LEN(C33)-1))&gt;=总览!$H$11),总览!$I$11,IF(AND(总览!$F$11&lt;&gt;"",B33*100+VALUE(LEFT(C33,LEN(C33)-1))&gt;=总览!$F$11),总览!$G$11,IF(AND(总览!$D$11&lt;&gt;"",B33*100+VALUE(LEFT(C33,LEN(C33)-1))&gt;=总览!$D$11),总览!$E$11,总览!$B$11)))))</f>
        <v/>
      </c>
      <c r="J33" s="32">
        <f>IF(OR(B33&gt;2027,AND(B33=2027,VALUE(LEFT(C33,LEN(C33)-1))&gt;=9)),IF(AND(总览!$L$12&lt;&gt;"",B33*100+VALUE(LEFT(C33,LEN(C33)-1))&gt;=总览!$L$12),总览!$M$12,IF(AND(总览!$J$12&lt;&gt;"",B33*100+VALUE(LEFT(C33,LEN(C33)-1))&gt;=总览!$J$12),总览!$K$12,IF(AND(总览!$H$12&lt;&gt;"",B33*100+VALUE(LEFT(C33,LEN(C33)-1))&gt;=总览!$H$12),总览!$I$12,IF(AND(总览!$F$12&lt;&gt;"",B33*100+VALUE(LEFT(C33,LEN(C33)-1))&gt;=总览!$F$12),总览!$G$12,IF(AND(总览!$D$12&lt;&gt;"",B33*100+VALUE(LEFT(C33,LEN(C33)-1))&gt;=总览!$D$12),总览!$E$12,总览!$B$12))))),0)</f>
        <v/>
      </c>
      <c r="K33" s="32">
        <f>IF(AND(B33=2026,C33="5月"),120000,IF(AND(B33=2027,C33="9月"),30000,IF(C33="10月",IF(AND(总览!$L$13&lt;&gt;"",B33*100+VALUE(LEFT(C33,LEN(C33)-1))&gt;=总览!$L$13),总览!$M$13,IF(AND(总览!$J$13&lt;&gt;"",B33*100+VALUE(LEFT(C33,LEN(C33)-1))&gt;=总览!$J$13),总览!$K$13,IF(AND(总览!$H$13&lt;&gt;"",B33*100+VALUE(LEFT(C33,LEN(C33)-1))&gt;=总览!$H$13),总览!$I$13,IF(AND(总览!$F$13&lt;&gt;"",B33*100+VALUE(LEFT(C33,LEN(C33)-1))&gt;=总览!$F$13),总览!$G$13,IF(AND(总览!$D$13&lt;&gt;"",B33*100+VALUE(LEFT(C33,LEN(C33)-1))&gt;=总览!$D$13),总览!$E$13,总览!$B$13))))),0)))</f>
        <v/>
      </c>
      <c r="L33" s="31" t="inlineStr"/>
      <c r="M33" s="32">
        <f>SUM(H33:K33)</f>
        <v/>
      </c>
      <c r="N33" s="32">
        <f>G33-M33</f>
        <v/>
      </c>
      <c r="O33" s="32">
        <f>O32+N33</f>
        <v/>
      </c>
    </row>
    <row r="34">
      <c r="A34" s="33" t="n">
        <v>33</v>
      </c>
      <c r="B34" s="33" t="n">
        <v>2028</v>
      </c>
      <c r="C34" s="33" t="inlineStr">
        <is>
          <t>10月</t>
        </is>
      </c>
      <c r="D34" s="34">
        <f>IF(AND(总览!$L$6&lt;&gt;"",B34*100+VALUE(LEFT(C34,LEN(C34)-1))&gt;=总览!$L$6),总览!$M$6,IF(AND(总览!$J$6&lt;&gt;"",B34*100+VALUE(LEFT(C34,LEN(C34)-1))&gt;=总览!$J$6),总览!$K$6,IF(AND(总览!$H$6&lt;&gt;"",B34*100+VALUE(LEFT(C34,LEN(C34)-1))&gt;=总览!$H$6),总览!$I$6,IF(AND(总览!$F$6&lt;&gt;"",B34*100+VALUE(LEFT(C34,LEN(C34)-1))&gt;=总览!$F$6),总览!$G$6,IF(AND(总览!$D$6&lt;&gt;"",B34*100+VALUE(LEFT(C34,LEN(C34)-1))&gt;=总览!$D$6),总览!$E$6,总览!$B$6)))))</f>
        <v/>
      </c>
      <c r="E34" s="34">
        <f>IF(C34="12月",IF(AND(总览!$L$7&lt;&gt;"",B34*100+VALUE(LEFT(C34,LEN(C34)-1))&gt;=总览!$L$7),总览!$M$7,IF(AND(总览!$J$7&lt;&gt;"",B34*100+VALUE(LEFT(C34,LEN(C34)-1))&gt;=总览!$J$7),总览!$K$7,IF(AND(总览!$H$7&lt;&gt;"",B34*100+VALUE(LEFT(C34,LEN(C34)-1))&gt;=总览!$H$7),总览!$I$7,IF(AND(总览!$F$7&lt;&gt;"",B34*100+VALUE(LEFT(C34,LEN(C34)-1))&gt;=总览!$F$7),总览!$G$7,IF(AND(总览!$D$7&lt;&gt;"",B34*100+VALUE(LEFT(C34,LEN(C34)-1))&gt;=总览!$D$7),总览!$E$7,总览!$B$7))))),0)</f>
        <v/>
      </c>
      <c r="F34" s="34">
        <f>ROUND(O33*总览!$B$14/12,0)</f>
        <v/>
      </c>
      <c r="G34" s="34">
        <f>D34+E34+F34</f>
        <v/>
      </c>
      <c r="H34" s="34">
        <f>IF(OR(B34&gt;2027,AND(B34=2027,VALUE(LEFT(C34,LEN(C34)-1))&gt;=9)),IF(AND(总览!$L$10&lt;&gt;"",B34*100+VALUE(LEFT(C34,LEN(C34)-1))&gt;=总览!$L$10),总览!$M$10,IF(AND(总览!$J$10&lt;&gt;"",B34*100+VALUE(LEFT(C34,LEN(C34)-1))&gt;=总览!$J$10),总览!$K$10,IF(AND(总览!$H$10&lt;&gt;"",B34*100+VALUE(LEFT(C34,LEN(C34)-1))&gt;=总览!$H$10),总览!$I$10,IF(AND(总览!$F$10&lt;&gt;"",B34*100+VALUE(LEFT(C34,LEN(C34)-1))&gt;=总览!$F$10),总览!$G$10,IF(AND(总览!$D$10&lt;&gt;"",B34*100+VALUE(LEFT(C34,LEN(C34)-1))&gt;=总览!$D$10),总览!$E$10,总览!$B$10))))),IF(AND(总览!$L$9&lt;&gt;"",B34*100+VALUE(LEFT(C34,LEN(C34)-1))&gt;=总览!$L$9),总览!$M$9,IF(AND(总览!$J$9&lt;&gt;"",B34*100+VALUE(LEFT(C34,LEN(C34)-1))&gt;=总览!$J$9),总览!$K$9,IF(AND(总览!$H$9&lt;&gt;"",B34*100+VALUE(LEFT(C34,LEN(C34)-1))&gt;=总览!$H$9),总览!$I$9,IF(AND(总览!$F$9&lt;&gt;"",B34*100+VALUE(LEFT(C34,LEN(C34)-1))&gt;=总览!$F$9),总览!$G$9,IF(AND(总览!$D$9&lt;&gt;"",B34*100+VALUE(LEFT(C34,LEN(C34)-1))&gt;=总览!$D$9),总览!$E$9,总览!$B$9))))))</f>
        <v/>
      </c>
      <c r="I34" s="34">
        <f>IF(AND(总览!$L$11&lt;&gt;"",B34*100+VALUE(LEFT(C34,LEN(C34)-1))&gt;=总览!$L$11),总览!$M$11,IF(AND(总览!$J$11&lt;&gt;"",B34*100+VALUE(LEFT(C34,LEN(C34)-1))&gt;=总览!$J$11),总览!$K$11,IF(AND(总览!$H$11&lt;&gt;"",B34*100+VALUE(LEFT(C34,LEN(C34)-1))&gt;=总览!$H$11),总览!$I$11,IF(AND(总览!$F$11&lt;&gt;"",B34*100+VALUE(LEFT(C34,LEN(C34)-1))&gt;=总览!$F$11),总览!$G$11,IF(AND(总览!$D$11&lt;&gt;"",B34*100+VALUE(LEFT(C34,LEN(C34)-1))&gt;=总览!$D$11),总览!$E$11,总览!$B$11)))))</f>
        <v/>
      </c>
      <c r="J34" s="34">
        <f>IF(OR(B34&gt;2027,AND(B34=2027,VALUE(LEFT(C34,LEN(C34)-1))&gt;=9)),IF(AND(总览!$L$12&lt;&gt;"",B34*100+VALUE(LEFT(C34,LEN(C34)-1))&gt;=总览!$L$12),总览!$M$12,IF(AND(总览!$J$12&lt;&gt;"",B34*100+VALUE(LEFT(C34,LEN(C34)-1))&gt;=总览!$J$12),总览!$K$12,IF(AND(总览!$H$12&lt;&gt;"",B34*100+VALUE(LEFT(C34,LEN(C34)-1))&gt;=总览!$H$12),总览!$I$12,IF(AND(总览!$F$12&lt;&gt;"",B34*100+VALUE(LEFT(C34,LEN(C34)-1))&gt;=总览!$F$12),总览!$G$12,IF(AND(总览!$D$12&lt;&gt;"",B34*100+VALUE(LEFT(C34,LEN(C34)-1))&gt;=总览!$D$12),总览!$E$12,总览!$B$12))))),0)</f>
        <v/>
      </c>
      <c r="K34" s="34">
        <f>IF(AND(B34=2026,C34="5月"),120000,IF(AND(B34=2027,C34="9月"),30000,IF(C34="10月",IF(AND(总览!$L$13&lt;&gt;"",B34*100+VALUE(LEFT(C34,LEN(C34)-1))&gt;=总览!$L$13),总览!$M$13,IF(AND(总览!$J$13&lt;&gt;"",B34*100+VALUE(LEFT(C34,LEN(C34)-1))&gt;=总览!$J$13),总览!$K$13,IF(AND(总览!$H$13&lt;&gt;"",B34*100+VALUE(LEFT(C34,LEN(C34)-1))&gt;=总览!$H$13),总览!$I$13,IF(AND(总览!$F$13&lt;&gt;"",B34*100+VALUE(LEFT(C34,LEN(C34)-1))&gt;=总览!$F$13),总览!$G$13,IF(AND(总览!$D$13&lt;&gt;"",B34*100+VALUE(LEFT(C34,LEN(C34)-1))&gt;=总览!$D$13),总览!$E$13,总览!$B$13))))),0)))</f>
        <v/>
      </c>
      <c r="L34" s="33" t="inlineStr">
        <is>
          <t>年度旅游</t>
        </is>
      </c>
      <c r="M34" s="34">
        <f>SUM(H34:K34)</f>
        <v/>
      </c>
      <c r="N34" s="34">
        <f>G34-M34</f>
        <v/>
      </c>
      <c r="O34" s="34">
        <f>O33+N34</f>
        <v/>
      </c>
    </row>
    <row r="35">
      <c r="A35" s="31" t="n">
        <v>34</v>
      </c>
      <c r="B35" s="31" t="n">
        <v>2028</v>
      </c>
      <c r="C35" s="31" t="inlineStr">
        <is>
          <t>11月</t>
        </is>
      </c>
      <c r="D35" s="32">
        <f>IF(AND(总览!$L$6&lt;&gt;"",B35*100+VALUE(LEFT(C35,LEN(C35)-1))&gt;=总览!$L$6),总览!$M$6,IF(AND(总览!$J$6&lt;&gt;"",B35*100+VALUE(LEFT(C35,LEN(C35)-1))&gt;=总览!$J$6),总览!$K$6,IF(AND(总览!$H$6&lt;&gt;"",B35*100+VALUE(LEFT(C35,LEN(C35)-1))&gt;=总览!$H$6),总览!$I$6,IF(AND(总览!$F$6&lt;&gt;"",B35*100+VALUE(LEFT(C35,LEN(C35)-1))&gt;=总览!$F$6),总览!$G$6,IF(AND(总览!$D$6&lt;&gt;"",B35*100+VALUE(LEFT(C35,LEN(C35)-1))&gt;=总览!$D$6),总览!$E$6,总览!$B$6)))))</f>
        <v/>
      </c>
      <c r="E35" s="32">
        <f>IF(C35="12月",IF(AND(总览!$L$7&lt;&gt;"",B35*100+VALUE(LEFT(C35,LEN(C35)-1))&gt;=总览!$L$7),总览!$M$7,IF(AND(总览!$J$7&lt;&gt;"",B35*100+VALUE(LEFT(C35,LEN(C35)-1))&gt;=总览!$J$7),总览!$K$7,IF(AND(总览!$H$7&lt;&gt;"",B35*100+VALUE(LEFT(C35,LEN(C35)-1))&gt;=总览!$H$7),总览!$I$7,IF(AND(总览!$F$7&lt;&gt;"",B35*100+VALUE(LEFT(C35,LEN(C35)-1))&gt;=总览!$F$7),总览!$G$7,IF(AND(总览!$D$7&lt;&gt;"",B35*100+VALUE(LEFT(C35,LEN(C35)-1))&gt;=总览!$D$7),总览!$E$7,总览!$B$7))))),0)</f>
        <v/>
      </c>
      <c r="F35" s="32">
        <f>ROUND(O34*总览!$B$14/12,0)</f>
        <v/>
      </c>
      <c r="G35" s="32">
        <f>D35+E35+F35</f>
        <v/>
      </c>
      <c r="H35" s="32">
        <f>IF(OR(B35&gt;2027,AND(B35=2027,VALUE(LEFT(C35,LEN(C35)-1))&gt;=9)),IF(AND(总览!$L$10&lt;&gt;"",B35*100+VALUE(LEFT(C35,LEN(C35)-1))&gt;=总览!$L$10),总览!$M$10,IF(AND(总览!$J$10&lt;&gt;"",B35*100+VALUE(LEFT(C35,LEN(C35)-1))&gt;=总览!$J$10),总览!$K$10,IF(AND(总览!$H$10&lt;&gt;"",B35*100+VALUE(LEFT(C35,LEN(C35)-1))&gt;=总览!$H$10),总览!$I$10,IF(AND(总览!$F$10&lt;&gt;"",B35*100+VALUE(LEFT(C35,LEN(C35)-1))&gt;=总览!$F$10),总览!$G$10,IF(AND(总览!$D$10&lt;&gt;"",B35*100+VALUE(LEFT(C35,LEN(C35)-1))&gt;=总览!$D$10),总览!$E$10,总览!$B$10))))),IF(AND(总览!$L$9&lt;&gt;"",B35*100+VALUE(LEFT(C35,LEN(C35)-1))&gt;=总览!$L$9),总览!$M$9,IF(AND(总览!$J$9&lt;&gt;"",B35*100+VALUE(LEFT(C35,LEN(C35)-1))&gt;=总览!$J$9),总览!$K$9,IF(AND(总览!$H$9&lt;&gt;"",B35*100+VALUE(LEFT(C35,LEN(C35)-1))&gt;=总览!$H$9),总览!$I$9,IF(AND(总览!$F$9&lt;&gt;"",B35*100+VALUE(LEFT(C35,LEN(C35)-1))&gt;=总览!$F$9),总览!$G$9,IF(AND(总览!$D$9&lt;&gt;"",B35*100+VALUE(LEFT(C35,LEN(C35)-1))&gt;=总览!$D$9),总览!$E$9,总览!$B$9))))))</f>
        <v/>
      </c>
      <c r="I35" s="32">
        <f>IF(AND(总览!$L$11&lt;&gt;"",B35*100+VALUE(LEFT(C35,LEN(C35)-1))&gt;=总览!$L$11),总览!$M$11,IF(AND(总览!$J$11&lt;&gt;"",B35*100+VALUE(LEFT(C35,LEN(C35)-1))&gt;=总览!$J$11),总览!$K$11,IF(AND(总览!$H$11&lt;&gt;"",B35*100+VALUE(LEFT(C35,LEN(C35)-1))&gt;=总览!$H$11),总览!$I$11,IF(AND(总览!$F$11&lt;&gt;"",B35*100+VALUE(LEFT(C35,LEN(C35)-1))&gt;=总览!$F$11),总览!$G$11,IF(AND(总览!$D$11&lt;&gt;"",B35*100+VALUE(LEFT(C35,LEN(C35)-1))&gt;=总览!$D$11),总览!$E$11,总览!$B$11)))))</f>
        <v/>
      </c>
      <c r="J35" s="32">
        <f>IF(OR(B35&gt;2027,AND(B35=2027,VALUE(LEFT(C35,LEN(C35)-1))&gt;=9)),IF(AND(总览!$L$12&lt;&gt;"",B35*100+VALUE(LEFT(C35,LEN(C35)-1))&gt;=总览!$L$12),总览!$M$12,IF(AND(总览!$J$12&lt;&gt;"",B35*100+VALUE(LEFT(C35,LEN(C35)-1))&gt;=总览!$J$12),总览!$K$12,IF(AND(总览!$H$12&lt;&gt;"",B35*100+VALUE(LEFT(C35,LEN(C35)-1))&gt;=总览!$H$12),总览!$I$12,IF(AND(总览!$F$12&lt;&gt;"",B35*100+VALUE(LEFT(C35,LEN(C35)-1))&gt;=总览!$F$12),总览!$G$12,IF(AND(总览!$D$12&lt;&gt;"",B35*100+VALUE(LEFT(C35,LEN(C35)-1))&gt;=总览!$D$12),总览!$E$12,总览!$B$12))))),0)</f>
        <v/>
      </c>
      <c r="K35" s="32">
        <f>IF(AND(B35=2026,C35="5月"),120000,IF(AND(B35=2027,C35="9月"),30000,IF(C35="10月",IF(AND(总览!$L$13&lt;&gt;"",B35*100+VALUE(LEFT(C35,LEN(C35)-1))&gt;=总览!$L$13),总览!$M$13,IF(AND(总览!$J$13&lt;&gt;"",B35*100+VALUE(LEFT(C35,LEN(C35)-1))&gt;=总览!$J$13),总览!$K$13,IF(AND(总览!$H$13&lt;&gt;"",B35*100+VALUE(LEFT(C35,LEN(C35)-1))&gt;=总览!$H$13),总览!$I$13,IF(AND(总览!$F$13&lt;&gt;"",B35*100+VALUE(LEFT(C35,LEN(C35)-1))&gt;=总览!$F$13),总览!$G$13,IF(AND(总览!$D$13&lt;&gt;"",B35*100+VALUE(LEFT(C35,LEN(C35)-1))&gt;=总览!$D$13),总览!$E$13,总览!$B$13))))),0)))</f>
        <v/>
      </c>
      <c r="L35" s="31" t="inlineStr"/>
      <c r="M35" s="32">
        <f>SUM(H35:K35)</f>
        <v/>
      </c>
      <c r="N35" s="32">
        <f>G35-M35</f>
        <v/>
      </c>
      <c r="O35" s="32">
        <f>O34+N35</f>
        <v/>
      </c>
    </row>
    <row r="36">
      <c r="A36" s="35" t="n">
        <v>35</v>
      </c>
      <c r="B36" s="35" t="n">
        <v>2028</v>
      </c>
      <c r="C36" s="35" t="inlineStr">
        <is>
          <t>12月</t>
        </is>
      </c>
      <c r="D36" s="36">
        <f>IF(AND(总览!$L$6&lt;&gt;"",B36*100+VALUE(LEFT(C36,LEN(C36)-1))&gt;=总览!$L$6),总览!$M$6,IF(AND(总览!$J$6&lt;&gt;"",B36*100+VALUE(LEFT(C36,LEN(C36)-1))&gt;=总览!$J$6),总览!$K$6,IF(AND(总览!$H$6&lt;&gt;"",B36*100+VALUE(LEFT(C36,LEN(C36)-1))&gt;=总览!$H$6),总览!$I$6,IF(AND(总览!$F$6&lt;&gt;"",B36*100+VALUE(LEFT(C36,LEN(C36)-1))&gt;=总览!$F$6),总览!$G$6,IF(AND(总览!$D$6&lt;&gt;"",B36*100+VALUE(LEFT(C36,LEN(C36)-1))&gt;=总览!$D$6),总览!$E$6,总览!$B$6)))))</f>
        <v/>
      </c>
      <c r="E36" s="36">
        <f>IF(C36="12月",IF(AND(总览!$L$7&lt;&gt;"",B36*100+VALUE(LEFT(C36,LEN(C36)-1))&gt;=总览!$L$7),总览!$M$7,IF(AND(总览!$J$7&lt;&gt;"",B36*100+VALUE(LEFT(C36,LEN(C36)-1))&gt;=总览!$J$7),总览!$K$7,IF(AND(总览!$H$7&lt;&gt;"",B36*100+VALUE(LEFT(C36,LEN(C36)-1))&gt;=总览!$H$7),总览!$I$7,IF(AND(总览!$F$7&lt;&gt;"",B36*100+VALUE(LEFT(C36,LEN(C36)-1))&gt;=总览!$F$7),总览!$G$7,IF(AND(总览!$D$7&lt;&gt;"",B36*100+VALUE(LEFT(C36,LEN(C36)-1))&gt;=总览!$D$7),总览!$E$7,总览!$B$7))))),0)</f>
        <v/>
      </c>
      <c r="F36" s="36">
        <f>ROUND(O35*总览!$B$14/12,0)</f>
        <v/>
      </c>
      <c r="G36" s="36">
        <f>D36+E36+F36</f>
        <v/>
      </c>
      <c r="H36" s="36">
        <f>IF(OR(B36&gt;2027,AND(B36=2027,VALUE(LEFT(C36,LEN(C36)-1))&gt;=9)),IF(AND(总览!$L$10&lt;&gt;"",B36*100+VALUE(LEFT(C36,LEN(C36)-1))&gt;=总览!$L$10),总览!$M$10,IF(AND(总览!$J$10&lt;&gt;"",B36*100+VALUE(LEFT(C36,LEN(C36)-1))&gt;=总览!$J$10),总览!$K$10,IF(AND(总览!$H$10&lt;&gt;"",B36*100+VALUE(LEFT(C36,LEN(C36)-1))&gt;=总览!$H$10),总览!$I$10,IF(AND(总览!$F$10&lt;&gt;"",B36*100+VALUE(LEFT(C36,LEN(C36)-1))&gt;=总览!$F$10),总览!$G$10,IF(AND(总览!$D$10&lt;&gt;"",B36*100+VALUE(LEFT(C36,LEN(C36)-1))&gt;=总览!$D$10),总览!$E$10,总览!$B$10))))),IF(AND(总览!$L$9&lt;&gt;"",B36*100+VALUE(LEFT(C36,LEN(C36)-1))&gt;=总览!$L$9),总览!$M$9,IF(AND(总览!$J$9&lt;&gt;"",B36*100+VALUE(LEFT(C36,LEN(C36)-1))&gt;=总览!$J$9),总览!$K$9,IF(AND(总览!$H$9&lt;&gt;"",B36*100+VALUE(LEFT(C36,LEN(C36)-1))&gt;=总览!$H$9),总览!$I$9,IF(AND(总览!$F$9&lt;&gt;"",B36*100+VALUE(LEFT(C36,LEN(C36)-1))&gt;=总览!$F$9),总览!$G$9,IF(AND(总览!$D$9&lt;&gt;"",B36*100+VALUE(LEFT(C36,LEN(C36)-1))&gt;=总览!$D$9),总览!$E$9,总览!$B$9))))))</f>
        <v/>
      </c>
      <c r="I36" s="36">
        <f>IF(AND(总览!$L$11&lt;&gt;"",B36*100+VALUE(LEFT(C36,LEN(C36)-1))&gt;=总览!$L$11),总览!$M$11,IF(AND(总览!$J$11&lt;&gt;"",B36*100+VALUE(LEFT(C36,LEN(C36)-1))&gt;=总览!$J$11),总览!$K$11,IF(AND(总览!$H$11&lt;&gt;"",B36*100+VALUE(LEFT(C36,LEN(C36)-1))&gt;=总览!$H$11),总览!$I$11,IF(AND(总览!$F$11&lt;&gt;"",B36*100+VALUE(LEFT(C36,LEN(C36)-1))&gt;=总览!$F$11),总览!$G$11,IF(AND(总览!$D$11&lt;&gt;"",B36*100+VALUE(LEFT(C36,LEN(C36)-1))&gt;=总览!$D$11),总览!$E$11,总览!$B$11)))))</f>
        <v/>
      </c>
      <c r="J36" s="36">
        <f>IF(OR(B36&gt;2027,AND(B36=2027,VALUE(LEFT(C36,LEN(C36)-1))&gt;=9)),IF(AND(总览!$L$12&lt;&gt;"",B36*100+VALUE(LEFT(C36,LEN(C36)-1))&gt;=总览!$L$12),总览!$M$12,IF(AND(总览!$J$12&lt;&gt;"",B36*100+VALUE(LEFT(C36,LEN(C36)-1))&gt;=总览!$J$12),总览!$K$12,IF(AND(总览!$H$12&lt;&gt;"",B36*100+VALUE(LEFT(C36,LEN(C36)-1))&gt;=总览!$H$12),总览!$I$12,IF(AND(总览!$F$12&lt;&gt;"",B36*100+VALUE(LEFT(C36,LEN(C36)-1))&gt;=总览!$F$12),总览!$G$12,IF(AND(总览!$D$12&lt;&gt;"",B36*100+VALUE(LEFT(C36,LEN(C36)-1))&gt;=总览!$D$12),总览!$E$12,总览!$B$12))))),0)</f>
        <v/>
      </c>
      <c r="K36" s="36">
        <f>IF(AND(B36=2026,C36="5月"),120000,IF(AND(B36=2027,C36="9月"),30000,IF(C36="10月",IF(AND(总览!$L$13&lt;&gt;"",B36*100+VALUE(LEFT(C36,LEN(C36)-1))&gt;=总览!$L$13),总览!$M$13,IF(AND(总览!$J$13&lt;&gt;"",B36*100+VALUE(LEFT(C36,LEN(C36)-1))&gt;=总览!$J$13),总览!$K$13,IF(AND(总览!$H$13&lt;&gt;"",B36*100+VALUE(LEFT(C36,LEN(C36)-1))&gt;=总览!$H$13),总览!$I$13,IF(AND(总览!$F$13&lt;&gt;"",B36*100+VALUE(LEFT(C36,LEN(C36)-1))&gt;=总览!$F$13),总览!$G$13,IF(AND(总览!$D$13&lt;&gt;"",B36*100+VALUE(LEFT(C36,LEN(C36)-1))&gt;=总览!$D$13),总览!$E$13,总览!$B$13))))),0)))</f>
        <v/>
      </c>
      <c r="L36" s="35" t="inlineStr"/>
      <c r="M36" s="36">
        <f>SUM(H36:K36)</f>
        <v/>
      </c>
      <c r="N36" s="36">
        <f>G36-M36</f>
        <v/>
      </c>
      <c r="O36" s="36">
        <f>O35+N36</f>
        <v/>
      </c>
    </row>
    <row r="37">
      <c r="A37" s="31" t="n">
        <v>36</v>
      </c>
      <c r="B37" s="31" t="n">
        <v>2029</v>
      </c>
      <c r="C37" s="31" t="inlineStr">
        <is>
          <t>1月</t>
        </is>
      </c>
      <c r="D37" s="32">
        <f>IF(AND(总览!$L$6&lt;&gt;"",B37*100+VALUE(LEFT(C37,LEN(C37)-1))&gt;=总览!$L$6),总览!$M$6,IF(AND(总览!$J$6&lt;&gt;"",B37*100+VALUE(LEFT(C37,LEN(C37)-1))&gt;=总览!$J$6),总览!$K$6,IF(AND(总览!$H$6&lt;&gt;"",B37*100+VALUE(LEFT(C37,LEN(C37)-1))&gt;=总览!$H$6),总览!$I$6,IF(AND(总览!$F$6&lt;&gt;"",B37*100+VALUE(LEFT(C37,LEN(C37)-1))&gt;=总览!$F$6),总览!$G$6,IF(AND(总览!$D$6&lt;&gt;"",B37*100+VALUE(LEFT(C37,LEN(C37)-1))&gt;=总览!$D$6),总览!$E$6,总览!$B$6)))))</f>
        <v/>
      </c>
      <c r="E37" s="32">
        <f>IF(C37="12月",IF(AND(总览!$L$7&lt;&gt;"",B37*100+VALUE(LEFT(C37,LEN(C37)-1))&gt;=总览!$L$7),总览!$M$7,IF(AND(总览!$J$7&lt;&gt;"",B37*100+VALUE(LEFT(C37,LEN(C37)-1))&gt;=总览!$J$7),总览!$K$7,IF(AND(总览!$H$7&lt;&gt;"",B37*100+VALUE(LEFT(C37,LEN(C37)-1))&gt;=总览!$H$7),总览!$I$7,IF(AND(总览!$F$7&lt;&gt;"",B37*100+VALUE(LEFT(C37,LEN(C37)-1))&gt;=总览!$F$7),总览!$G$7,IF(AND(总览!$D$7&lt;&gt;"",B37*100+VALUE(LEFT(C37,LEN(C37)-1))&gt;=总览!$D$7),总览!$E$7,总览!$B$7))))),0)</f>
        <v/>
      </c>
      <c r="F37" s="32">
        <f>ROUND(O36*总览!$B$14/12,0)</f>
        <v/>
      </c>
      <c r="G37" s="32">
        <f>D37+E37+F37</f>
        <v/>
      </c>
      <c r="H37" s="32">
        <f>IF(OR(B37&gt;2027,AND(B37=2027,VALUE(LEFT(C37,LEN(C37)-1))&gt;=9)),IF(AND(总览!$L$10&lt;&gt;"",B37*100+VALUE(LEFT(C37,LEN(C37)-1))&gt;=总览!$L$10),总览!$M$10,IF(AND(总览!$J$10&lt;&gt;"",B37*100+VALUE(LEFT(C37,LEN(C37)-1))&gt;=总览!$J$10),总览!$K$10,IF(AND(总览!$H$10&lt;&gt;"",B37*100+VALUE(LEFT(C37,LEN(C37)-1))&gt;=总览!$H$10),总览!$I$10,IF(AND(总览!$F$10&lt;&gt;"",B37*100+VALUE(LEFT(C37,LEN(C37)-1))&gt;=总览!$F$10),总览!$G$10,IF(AND(总览!$D$10&lt;&gt;"",B37*100+VALUE(LEFT(C37,LEN(C37)-1))&gt;=总览!$D$10),总览!$E$10,总览!$B$10))))),IF(AND(总览!$L$9&lt;&gt;"",B37*100+VALUE(LEFT(C37,LEN(C37)-1))&gt;=总览!$L$9),总览!$M$9,IF(AND(总览!$J$9&lt;&gt;"",B37*100+VALUE(LEFT(C37,LEN(C37)-1))&gt;=总览!$J$9),总览!$K$9,IF(AND(总览!$H$9&lt;&gt;"",B37*100+VALUE(LEFT(C37,LEN(C37)-1))&gt;=总览!$H$9),总览!$I$9,IF(AND(总览!$F$9&lt;&gt;"",B37*100+VALUE(LEFT(C37,LEN(C37)-1))&gt;=总览!$F$9),总览!$G$9,IF(AND(总览!$D$9&lt;&gt;"",B37*100+VALUE(LEFT(C37,LEN(C37)-1))&gt;=总览!$D$9),总览!$E$9,总览!$B$9))))))</f>
        <v/>
      </c>
      <c r="I37" s="32">
        <f>IF(AND(总览!$L$11&lt;&gt;"",B37*100+VALUE(LEFT(C37,LEN(C37)-1))&gt;=总览!$L$11),总览!$M$11,IF(AND(总览!$J$11&lt;&gt;"",B37*100+VALUE(LEFT(C37,LEN(C37)-1))&gt;=总览!$J$11),总览!$K$11,IF(AND(总览!$H$11&lt;&gt;"",B37*100+VALUE(LEFT(C37,LEN(C37)-1))&gt;=总览!$H$11),总览!$I$11,IF(AND(总览!$F$11&lt;&gt;"",B37*100+VALUE(LEFT(C37,LEN(C37)-1))&gt;=总览!$F$11),总览!$G$11,IF(AND(总览!$D$11&lt;&gt;"",B37*100+VALUE(LEFT(C37,LEN(C37)-1))&gt;=总览!$D$11),总览!$E$11,总览!$B$11)))))</f>
        <v/>
      </c>
      <c r="J37" s="32">
        <f>IF(OR(B37&gt;2027,AND(B37=2027,VALUE(LEFT(C37,LEN(C37)-1))&gt;=9)),IF(AND(总览!$L$12&lt;&gt;"",B37*100+VALUE(LEFT(C37,LEN(C37)-1))&gt;=总览!$L$12),总览!$M$12,IF(AND(总览!$J$12&lt;&gt;"",B37*100+VALUE(LEFT(C37,LEN(C37)-1))&gt;=总览!$J$12),总览!$K$12,IF(AND(总览!$H$12&lt;&gt;"",B37*100+VALUE(LEFT(C37,LEN(C37)-1))&gt;=总览!$H$12),总览!$I$12,IF(AND(总览!$F$12&lt;&gt;"",B37*100+VALUE(LEFT(C37,LEN(C37)-1))&gt;=总览!$F$12),总览!$G$12,IF(AND(总览!$D$12&lt;&gt;"",B37*100+VALUE(LEFT(C37,LEN(C37)-1))&gt;=总览!$D$12),总览!$E$12,总览!$B$12))))),0)</f>
        <v/>
      </c>
      <c r="K37" s="32">
        <f>IF(AND(B37=2026,C37="5月"),120000,IF(AND(B37=2027,C37="9月"),30000,IF(C37="10月",IF(AND(总览!$L$13&lt;&gt;"",B37*100+VALUE(LEFT(C37,LEN(C37)-1))&gt;=总览!$L$13),总览!$M$13,IF(AND(总览!$J$13&lt;&gt;"",B37*100+VALUE(LEFT(C37,LEN(C37)-1))&gt;=总览!$J$13),总览!$K$13,IF(AND(总览!$H$13&lt;&gt;"",B37*100+VALUE(LEFT(C37,LEN(C37)-1))&gt;=总览!$H$13),总览!$I$13,IF(AND(总览!$F$13&lt;&gt;"",B37*100+VALUE(LEFT(C37,LEN(C37)-1))&gt;=总览!$F$13),总览!$G$13,IF(AND(总览!$D$13&lt;&gt;"",B37*100+VALUE(LEFT(C37,LEN(C37)-1))&gt;=总览!$D$13),总览!$E$13,总览!$B$13))))),0)))</f>
        <v/>
      </c>
      <c r="L37" s="31" t="inlineStr"/>
      <c r="M37" s="32">
        <f>SUM(H37:K37)</f>
        <v/>
      </c>
      <c r="N37" s="32">
        <f>G37-M37</f>
        <v/>
      </c>
      <c r="O37" s="32">
        <f>O36+N37</f>
        <v/>
      </c>
    </row>
    <row r="38">
      <c r="A38" s="30" t="n">
        <v>37</v>
      </c>
      <c r="B38" s="30" t="n">
        <v>2029</v>
      </c>
      <c r="C38" s="30" t="inlineStr">
        <is>
          <t>2月</t>
        </is>
      </c>
      <c r="D38" s="11">
        <f>IF(AND(总览!$L$6&lt;&gt;"",B38*100+VALUE(LEFT(C38,LEN(C38)-1))&gt;=总览!$L$6),总览!$M$6,IF(AND(总览!$J$6&lt;&gt;"",B38*100+VALUE(LEFT(C38,LEN(C38)-1))&gt;=总览!$J$6),总览!$K$6,IF(AND(总览!$H$6&lt;&gt;"",B38*100+VALUE(LEFT(C38,LEN(C38)-1))&gt;=总览!$H$6),总览!$I$6,IF(AND(总览!$F$6&lt;&gt;"",B38*100+VALUE(LEFT(C38,LEN(C38)-1))&gt;=总览!$F$6),总览!$G$6,IF(AND(总览!$D$6&lt;&gt;"",B38*100+VALUE(LEFT(C38,LEN(C38)-1))&gt;=总览!$D$6),总览!$E$6,总览!$B$6)))))</f>
        <v/>
      </c>
      <c r="E38" s="11">
        <f>IF(C38="12月",IF(AND(总览!$L$7&lt;&gt;"",B38*100+VALUE(LEFT(C38,LEN(C38)-1))&gt;=总览!$L$7),总览!$M$7,IF(AND(总览!$J$7&lt;&gt;"",B38*100+VALUE(LEFT(C38,LEN(C38)-1))&gt;=总览!$J$7),总览!$K$7,IF(AND(总览!$H$7&lt;&gt;"",B38*100+VALUE(LEFT(C38,LEN(C38)-1))&gt;=总览!$H$7),总览!$I$7,IF(AND(总览!$F$7&lt;&gt;"",B38*100+VALUE(LEFT(C38,LEN(C38)-1))&gt;=总览!$F$7),总览!$G$7,IF(AND(总览!$D$7&lt;&gt;"",B38*100+VALUE(LEFT(C38,LEN(C38)-1))&gt;=总览!$D$7),总览!$E$7,总览!$B$7))))),0)</f>
        <v/>
      </c>
      <c r="F38" s="11">
        <f>ROUND(O37*总览!$B$14/12,0)</f>
        <v/>
      </c>
      <c r="G38" s="11">
        <f>D38+E38+F38</f>
        <v/>
      </c>
      <c r="H38" s="11">
        <f>IF(OR(B38&gt;2027,AND(B38=2027,VALUE(LEFT(C38,LEN(C38)-1))&gt;=9)),IF(AND(总览!$L$10&lt;&gt;"",B38*100+VALUE(LEFT(C38,LEN(C38)-1))&gt;=总览!$L$10),总览!$M$10,IF(AND(总览!$J$10&lt;&gt;"",B38*100+VALUE(LEFT(C38,LEN(C38)-1))&gt;=总览!$J$10),总览!$K$10,IF(AND(总览!$H$10&lt;&gt;"",B38*100+VALUE(LEFT(C38,LEN(C38)-1))&gt;=总览!$H$10),总览!$I$10,IF(AND(总览!$F$10&lt;&gt;"",B38*100+VALUE(LEFT(C38,LEN(C38)-1))&gt;=总览!$F$10),总览!$G$10,IF(AND(总览!$D$10&lt;&gt;"",B38*100+VALUE(LEFT(C38,LEN(C38)-1))&gt;=总览!$D$10),总览!$E$10,总览!$B$10))))),IF(AND(总览!$L$9&lt;&gt;"",B38*100+VALUE(LEFT(C38,LEN(C38)-1))&gt;=总览!$L$9),总览!$M$9,IF(AND(总览!$J$9&lt;&gt;"",B38*100+VALUE(LEFT(C38,LEN(C38)-1))&gt;=总览!$J$9),总览!$K$9,IF(AND(总览!$H$9&lt;&gt;"",B38*100+VALUE(LEFT(C38,LEN(C38)-1))&gt;=总览!$H$9),总览!$I$9,IF(AND(总览!$F$9&lt;&gt;"",B38*100+VALUE(LEFT(C38,LEN(C38)-1))&gt;=总览!$F$9),总览!$G$9,IF(AND(总览!$D$9&lt;&gt;"",B38*100+VALUE(LEFT(C38,LEN(C38)-1))&gt;=总览!$D$9),总览!$E$9,总览!$B$9))))))</f>
        <v/>
      </c>
      <c r="I38" s="11">
        <f>IF(AND(总览!$L$11&lt;&gt;"",B38*100+VALUE(LEFT(C38,LEN(C38)-1))&gt;=总览!$L$11),总览!$M$11,IF(AND(总览!$J$11&lt;&gt;"",B38*100+VALUE(LEFT(C38,LEN(C38)-1))&gt;=总览!$J$11),总览!$K$11,IF(AND(总览!$H$11&lt;&gt;"",B38*100+VALUE(LEFT(C38,LEN(C38)-1))&gt;=总览!$H$11),总览!$I$11,IF(AND(总览!$F$11&lt;&gt;"",B38*100+VALUE(LEFT(C38,LEN(C38)-1))&gt;=总览!$F$11),总览!$G$11,IF(AND(总览!$D$11&lt;&gt;"",B38*100+VALUE(LEFT(C38,LEN(C38)-1))&gt;=总览!$D$11),总览!$E$11,总览!$B$11)))))</f>
        <v/>
      </c>
      <c r="J38" s="11">
        <f>IF(OR(B38&gt;2027,AND(B38=2027,VALUE(LEFT(C38,LEN(C38)-1))&gt;=9)),IF(AND(总览!$L$12&lt;&gt;"",B38*100+VALUE(LEFT(C38,LEN(C38)-1))&gt;=总览!$L$12),总览!$M$12,IF(AND(总览!$J$12&lt;&gt;"",B38*100+VALUE(LEFT(C38,LEN(C38)-1))&gt;=总览!$J$12),总览!$K$12,IF(AND(总览!$H$12&lt;&gt;"",B38*100+VALUE(LEFT(C38,LEN(C38)-1))&gt;=总览!$H$12),总览!$I$12,IF(AND(总览!$F$12&lt;&gt;"",B38*100+VALUE(LEFT(C38,LEN(C38)-1))&gt;=总览!$F$12),总览!$G$12,IF(AND(总览!$D$12&lt;&gt;"",B38*100+VALUE(LEFT(C38,LEN(C38)-1))&gt;=总览!$D$12),总览!$E$12,总览!$B$12))))),0)</f>
        <v/>
      </c>
      <c r="K38" s="11">
        <f>IF(AND(B38=2026,C38="5月"),120000,IF(AND(B38=2027,C38="9月"),30000,IF(C38="10月",IF(AND(总览!$L$13&lt;&gt;"",B38*100+VALUE(LEFT(C38,LEN(C38)-1))&gt;=总览!$L$13),总览!$M$13,IF(AND(总览!$J$13&lt;&gt;"",B38*100+VALUE(LEFT(C38,LEN(C38)-1))&gt;=总览!$J$13),总览!$K$13,IF(AND(总览!$H$13&lt;&gt;"",B38*100+VALUE(LEFT(C38,LEN(C38)-1))&gt;=总览!$H$13),总览!$I$13,IF(AND(总览!$F$13&lt;&gt;"",B38*100+VALUE(LEFT(C38,LEN(C38)-1))&gt;=总览!$F$13),总览!$G$13,IF(AND(总览!$D$13&lt;&gt;"",B38*100+VALUE(LEFT(C38,LEN(C38)-1))&gt;=总览!$D$13),总览!$E$13,总览!$B$13))))),0)))</f>
        <v/>
      </c>
      <c r="L38" s="30" t="inlineStr"/>
      <c r="M38" s="11">
        <f>SUM(H38:K38)</f>
        <v/>
      </c>
      <c r="N38" s="11">
        <f>G38-M38</f>
        <v/>
      </c>
      <c r="O38" s="11">
        <f>O37+N38</f>
        <v/>
      </c>
    </row>
    <row r="39">
      <c r="A39" s="31" t="n">
        <v>38</v>
      </c>
      <c r="B39" s="31" t="n">
        <v>2029</v>
      </c>
      <c r="C39" s="31" t="inlineStr">
        <is>
          <t>3月</t>
        </is>
      </c>
      <c r="D39" s="32">
        <f>IF(AND(总览!$L$6&lt;&gt;"",B39*100+VALUE(LEFT(C39,LEN(C39)-1))&gt;=总览!$L$6),总览!$M$6,IF(AND(总览!$J$6&lt;&gt;"",B39*100+VALUE(LEFT(C39,LEN(C39)-1))&gt;=总览!$J$6),总览!$K$6,IF(AND(总览!$H$6&lt;&gt;"",B39*100+VALUE(LEFT(C39,LEN(C39)-1))&gt;=总览!$H$6),总览!$I$6,IF(AND(总览!$F$6&lt;&gt;"",B39*100+VALUE(LEFT(C39,LEN(C39)-1))&gt;=总览!$F$6),总览!$G$6,IF(AND(总览!$D$6&lt;&gt;"",B39*100+VALUE(LEFT(C39,LEN(C39)-1))&gt;=总览!$D$6),总览!$E$6,总览!$B$6)))))</f>
        <v/>
      </c>
      <c r="E39" s="32">
        <f>IF(C39="12月",IF(AND(总览!$L$7&lt;&gt;"",B39*100+VALUE(LEFT(C39,LEN(C39)-1))&gt;=总览!$L$7),总览!$M$7,IF(AND(总览!$J$7&lt;&gt;"",B39*100+VALUE(LEFT(C39,LEN(C39)-1))&gt;=总览!$J$7),总览!$K$7,IF(AND(总览!$H$7&lt;&gt;"",B39*100+VALUE(LEFT(C39,LEN(C39)-1))&gt;=总览!$H$7),总览!$I$7,IF(AND(总览!$F$7&lt;&gt;"",B39*100+VALUE(LEFT(C39,LEN(C39)-1))&gt;=总览!$F$7),总览!$G$7,IF(AND(总览!$D$7&lt;&gt;"",B39*100+VALUE(LEFT(C39,LEN(C39)-1))&gt;=总览!$D$7),总览!$E$7,总览!$B$7))))),0)</f>
        <v/>
      </c>
      <c r="F39" s="32">
        <f>ROUND(O38*总览!$B$14/12,0)</f>
        <v/>
      </c>
      <c r="G39" s="32">
        <f>D39+E39+F39</f>
        <v/>
      </c>
      <c r="H39" s="32">
        <f>IF(OR(B39&gt;2027,AND(B39=2027,VALUE(LEFT(C39,LEN(C39)-1))&gt;=9)),IF(AND(总览!$L$10&lt;&gt;"",B39*100+VALUE(LEFT(C39,LEN(C39)-1))&gt;=总览!$L$10),总览!$M$10,IF(AND(总览!$J$10&lt;&gt;"",B39*100+VALUE(LEFT(C39,LEN(C39)-1))&gt;=总览!$J$10),总览!$K$10,IF(AND(总览!$H$10&lt;&gt;"",B39*100+VALUE(LEFT(C39,LEN(C39)-1))&gt;=总览!$H$10),总览!$I$10,IF(AND(总览!$F$10&lt;&gt;"",B39*100+VALUE(LEFT(C39,LEN(C39)-1))&gt;=总览!$F$10),总览!$G$10,IF(AND(总览!$D$10&lt;&gt;"",B39*100+VALUE(LEFT(C39,LEN(C39)-1))&gt;=总览!$D$10),总览!$E$10,总览!$B$10))))),IF(AND(总览!$L$9&lt;&gt;"",B39*100+VALUE(LEFT(C39,LEN(C39)-1))&gt;=总览!$L$9),总览!$M$9,IF(AND(总览!$J$9&lt;&gt;"",B39*100+VALUE(LEFT(C39,LEN(C39)-1))&gt;=总览!$J$9),总览!$K$9,IF(AND(总览!$H$9&lt;&gt;"",B39*100+VALUE(LEFT(C39,LEN(C39)-1))&gt;=总览!$H$9),总览!$I$9,IF(AND(总览!$F$9&lt;&gt;"",B39*100+VALUE(LEFT(C39,LEN(C39)-1))&gt;=总览!$F$9),总览!$G$9,IF(AND(总览!$D$9&lt;&gt;"",B39*100+VALUE(LEFT(C39,LEN(C39)-1))&gt;=总览!$D$9),总览!$E$9,总览!$B$9))))))</f>
        <v/>
      </c>
      <c r="I39" s="32">
        <f>IF(AND(总览!$L$11&lt;&gt;"",B39*100+VALUE(LEFT(C39,LEN(C39)-1))&gt;=总览!$L$11),总览!$M$11,IF(AND(总览!$J$11&lt;&gt;"",B39*100+VALUE(LEFT(C39,LEN(C39)-1))&gt;=总览!$J$11),总览!$K$11,IF(AND(总览!$H$11&lt;&gt;"",B39*100+VALUE(LEFT(C39,LEN(C39)-1))&gt;=总览!$H$11),总览!$I$11,IF(AND(总览!$F$11&lt;&gt;"",B39*100+VALUE(LEFT(C39,LEN(C39)-1))&gt;=总览!$F$11),总览!$G$11,IF(AND(总览!$D$11&lt;&gt;"",B39*100+VALUE(LEFT(C39,LEN(C39)-1))&gt;=总览!$D$11),总览!$E$11,总览!$B$11)))))</f>
        <v/>
      </c>
      <c r="J39" s="32">
        <f>IF(OR(B39&gt;2027,AND(B39=2027,VALUE(LEFT(C39,LEN(C39)-1))&gt;=9)),IF(AND(总览!$L$12&lt;&gt;"",B39*100+VALUE(LEFT(C39,LEN(C39)-1))&gt;=总览!$L$12),总览!$M$12,IF(AND(总览!$J$12&lt;&gt;"",B39*100+VALUE(LEFT(C39,LEN(C39)-1))&gt;=总览!$J$12),总览!$K$12,IF(AND(总览!$H$12&lt;&gt;"",B39*100+VALUE(LEFT(C39,LEN(C39)-1))&gt;=总览!$H$12),总览!$I$12,IF(AND(总览!$F$12&lt;&gt;"",B39*100+VALUE(LEFT(C39,LEN(C39)-1))&gt;=总览!$F$12),总览!$G$12,IF(AND(总览!$D$12&lt;&gt;"",B39*100+VALUE(LEFT(C39,LEN(C39)-1))&gt;=总览!$D$12),总览!$E$12,总览!$B$12))))),0)</f>
        <v/>
      </c>
      <c r="K39" s="32">
        <f>IF(AND(B39=2026,C39="5月"),120000,IF(AND(B39=2027,C39="9月"),30000,IF(C39="10月",IF(AND(总览!$L$13&lt;&gt;"",B39*100+VALUE(LEFT(C39,LEN(C39)-1))&gt;=总览!$L$13),总览!$M$13,IF(AND(总览!$J$13&lt;&gt;"",B39*100+VALUE(LEFT(C39,LEN(C39)-1))&gt;=总览!$J$13),总览!$K$13,IF(AND(总览!$H$13&lt;&gt;"",B39*100+VALUE(LEFT(C39,LEN(C39)-1))&gt;=总览!$H$13),总览!$I$13,IF(AND(总览!$F$13&lt;&gt;"",B39*100+VALUE(LEFT(C39,LEN(C39)-1))&gt;=总览!$F$13),总览!$G$13,IF(AND(总览!$D$13&lt;&gt;"",B39*100+VALUE(LEFT(C39,LEN(C39)-1))&gt;=总览!$D$13),总览!$E$13,总览!$B$13))))),0)))</f>
        <v/>
      </c>
      <c r="L39" s="31" t="inlineStr"/>
      <c r="M39" s="32">
        <f>SUM(H39:K39)</f>
        <v/>
      </c>
      <c r="N39" s="32">
        <f>G39-M39</f>
        <v/>
      </c>
      <c r="O39" s="32">
        <f>O38+N39</f>
        <v/>
      </c>
    </row>
    <row r="40">
      <c r="A40" s="30" t="n">
        <v>39</v>
      </c>
      <c r="B40" s="30" t="n">
        <v>2029</v>
      </c>
      <c r="C40" s="30" t="inlineStr">
        <is>
          <t>4月</t>
        </is>
      </c>
      <c r="D40" s="11">
        <f>IF(AND(总览!$L$6&lt;&gt;"",B40*100+VALUE(LEFT(C40,LEN(C40)-1))&gt;=总览!$L$6),总览!$M$6,IF(AND(总览!$J$6&lt;&gt;"",B40*100+VALUE(LEFT(C40,LEN(C40)-1))&gt;=总览!$J$6),总览!$K$6,IF(AND(总览!$H$6&lt;&gt;"",B40*100+VALUE(LEFT(C40,LEN(C40)-1))&gt;=总览!$H$6),总览!$I$6,IF(AND(总览!$F$6&lt;&gt;"",B40*100+VALUE(LEFT(C40,LEN(C40)-1))&gt;=总览!$F$6),总览!$G$6,IF(AND(总览!$D$6&lt;&gt;"",B40*100+VALUE(LEFT(C40,LEN(C40)-1))&gt;=总览!$D$6),总览!$E$6,总览!$B$6)))))</f>
        <v/>
      </c>
      <c r="E40" s="11">
        <f>IF(C40="12月",IF(AND(总览!$L$7&lt;&gt;"",B40*100+VALUE(LEFT(C40,LEN(C40)-1))&gt;=总览!$L$7),总览!$M$7,IF(AND(总览!$J$7&lt;&gt;"",B40*100+VALUE(LEFT(C40,LEN(C40)-1))&gt;=总览!$J$7),总览!$K$7,IF(AND(总览!$H$7&lt;&gt;"",B40*100+VALUE(LEFT(C40,LEN(C40)-1))&gt;=总览!$H$7),总览!$I$7,IF(AND(总览!$F$7&lt;&gt;"",B40*100+VALUE(LEFT(C40,LEN(C40)-1))&gt;=总览!$F$7),总览!$G$7,IF(AND(总览!$D$7&lt;&gt;"",B40*100+VALUE(LEFT(C40,LEN(C40)-1))&gt;=总览!$D$7),总览!$E$7,总览!$B$7))))),0)</f>
        <v/>
      </c>
      <c r="F40" s="11">
        <f>ROUND(O39*总览!$B$14/12,0)</f>
        <v/>
      </c>
      <c r="G40" s="11">
        <f>D40+E40+F40</f>
        <v/>
      </c>
      <c r="H40" s="11">
        <f>IF(OR(B40&gt;2027,AND(B40=2027,VALUE(LEFT(C40,LEN(C40)-1))&gt;=9)),IF(AND(总览!$L$10&lt;&gt;"",B40*100+VALUE(LEFT(C40,LEN(C40)-1))&gt;=总览!$L$10),总览!$M$10,IF(AND(总览!$J$10&lt;&gt;"",B40*100+VALUE(LEFT(C40,LEN(C40)-1))&gt;=总览!$J$10),总览!$K$10,IF(AND(总览!$H$10&lt;&gt;"",B40*100+VALUE(LEFT(C40,LEN(C40)-1))&gt;=总览!$H$10),总览!$I$10,IF(AND(总览!$F$10&lt;&gt;"",B40*100+VALUE(LEFT(C40,LEN(C40)-1))&gt;=总览!$F$10),总览!$G$10,IF(AND(总览!$D$10&lt;&gt;"",B40*100+VALUE(LEFT(C40,LEN(C40)-1))&gt;=总览!$D$10),总览!$E$10,总览!$B$10))))),IF(AND(总览!$L$9&lt;&gt;"",B40*100+VALUE(LEFT(C40,LEN(C40)-1))&gt;=总览!$L$9),总览!$M$9,IF(AND(总览!$J$9&lt;&gt;"",B40*100+VALUE(LEFT(C40,LEN(C40)-1))&gt;=总览!$J$9),总览!$K$9,IF(AND(总览!$H$9&lt;&gt;"",B40*100+VALUE(LEFT(C40,LEN(C40)-1))&gt;=总览!$H$9),总览!$I$9,IF(AND(总览!$F$9&lt;&gt;"",B40*100+VALUE(LEFT(C40,LEN(C40)-1))&gt;=总览!$F$9),总览!$G$9,IF(AND(总览!$D$9&lt;&gt;"",B40*100+VALUE(LEFT(C40,LEN(C40)-1))&gt;=总览!$D$9),总览!$E$9,总览!$B$9))))))</f>
        <v/>
      </c>
      <c r="I40" s="11">
        <f>IF(AND(总览!$L$11&lt;&gt;"",B40*100+VALUE(LEFT(C40,LEN(C40)-1))&gt;=总览!$L$11),总览!$M$11,IF(AND(总览!$J$11&lt;&gt;"",B40*100+VALUE(LEFT(C40,LEN(C40)-1))&gt;=总览!$J$11),总览!$K$11,IF(AND(总览!$H$11&lt;&gt;"",B40*100+VALUE(LEFT(C40,LEN(C40)-1))&gt;=总览!$H$11),总览!$I$11,IF(AND(总览!$F$11&lt;&gt;"",B40*100+VALUE(LEFT(C40,LEN(C40)-1))&gt;=总览!$F$11),总览!$G$11,IF(AND(总览!$D$11&lt;&gt;"",B40*100+VALUE(LEFT(C40,LEN(C40)-1))&gt;=总览!$D$11),总览!$E$11,总览!$B$11)))))</f>
        <v/>
      </c>
      <c r="J40" s="11">
        <f>IF(OR(B40&gt;2027,AND(B40=2027,VALUE(LEFT(C40,LEN(C40)-1))&gt;=9)),IF(AND(总览!$L$12&lt;&gt;"",B40*100+VALUE(LEFT(C40,LEN(C40)-1))&gt;=总览!$L$12),总览!$M$12,IF(AND(总览!$J$12&lt;&gt;"",B40*100+VALUE(LEFT(C40,LEN(C40)-1))&gt;=总览!$J$12),总览!$K$12,IF(AND(总览!$H$12&lt;&gt;"",B40*100+VALUE(LEFT(C40,LEN(C40)-1))&gt;=总览!$H$12),总览!$I$12,IF(AND(总览!$F$12&lt;&gt;"",B40*100+VALUE(LEFT(C40,LEN(C40)-1))&gt;=总览!$F$12),总览!$G$12,IF(AND(总览!$D$12&lt;&gt;"",B40*100+VALUE(LEFT(C40,LEN(C40)-1))&gt;=总览!$D$12),总览!$E$12,总览!$B$12))))),0)</f>
        <v/>
      </c>
      <c r="K40" s="11">
        <f>IF(AND(B40=2026,C40="5月"),120000,IF(AND(B40=2027,C40="9月"),30000,IF(C40="10月",IF(AND(总览!$L$13&lt;&gt;"",B40*100+VALUE(LEFT(C40,LEN(C40)-1))&gt;=总览!$L$13),总览!$M$13,IF(AND(总览!$J$13&lt;&gt;"",B40*100+VALUE(LEFT(C40,LEN(C40)-1))&gt;=总览!$J$13),总览!$K$13,IF(AND(总览!$H$13&lt;&gt;"",B40*100+VALUE(LEFT(C40,LEN(C40)-1))&gt;=总览!$H$13),总览!$I$13,IF(AND(总览!$F$13&lt;&gt;"",B40*100+VALUE(LEFT(C40,LEN(C40)-1))&gt;=总览!$F$13),总览!$G$13,IF(AND(总览!$D$13&lt;&gt;"",B40*100+VALUE(LEFT(C40,LEN(C40)-1))&gt;=总览!$D$13),总览!$E$13,总览!$B$13))))),0)))</f>
        <v/>
      </c>
      <c r="L40" s="30" t="inlineStr"/>
      <c r="M40" s="11">
        <f>SUM(H40:K40)</f>
        <v/>
      </c>
      <c r="N40" s="11">
        <f>G40-M40</f>
        <v/>
      </c>
      <c r="O40" s="11">
        <f>O39+N40</f>
        <v/>
      </c>
    </row>
    <row r="41">
      <c r="A41" s="31" t="n">
        <v>40</v>
      </c>
      <c r="B41" s="31" t="n">
        <v>2029</v>
      </c>
      <c r="C41" s="31" t="inlineStr">
        <is>
          <t>5月</t>
        </is>
      </c>
      <c r="D41" s="32">
        <f>IF(AND(总览!$L$6&lt;&gt;"",B41*100+VALUE(LEFT(C41,LEN(C41)-1))&gt;=总览!$L$6),总览!$M$6,IF(AND(总览!$J$6&lt;&gt;"",B41*100+VALUE(LEFT(C41,LEN(C41)-1))&gt;=总览!$J$6),总览!$K$6,IF(AND(总览!$H$6&lt;&gt;"",B41*100+VALUE(LEFT(C41,LEN(C41)-1))&gt;=总览!$H$6),总览!$I$6,IF(AND(总览!$F$6&lt;&gt;"",B41*100+VALUE(LEFT(C41,LEN(C41)-1))&gt;=总览!$F$6),总览!$G$6,IF(AND(总览!$D$6&lt;&gt;"",B41*100+VALUE(LEFT(C41,LEN(C41)-1))&gt;=总览!$D$6),总览!$E$6,总览!$B$6)))))</f>
        <v/>
      </c>
      <c r="E41" s="32">
        <f>IF(C41="12月",IF(AND(总览!$L$7&lt;&gt;"",B41*100+VALUE(LEFT(C41,LEN(C41)-1))&gt;=总览!$L$7),总览!$M$7,IF(AND(总览!$J$7&lt;&gt;"",B41*100+VALUE(LEFT(C41,LEN(C41)-1))&gt;=总览!$J$7),总览!$K$7,IF(AND(总览!$H$7&lt;&gt;"",B41*100+VALUE(LEFT(C41,LEN(C41)-1))&gt;=总览!$H$7),总览!$I$7,IF(AND(总览!$F$7&lt;&gt;"",B41*100+VALUE(LEFT(C41,LEN(C41)-1))&gt;=总览!$F$7),总览!$G$7,IF(AND(总览!$D$7&lt;&gt;"",B41*100+VALUE(LEFT(C41,LEN(C41)-1))&gt;=总览!$D$7),总览!$E$7,总览!$B$7))))),0)</f>
        <v/>
      </c>
      <c r="F41" s="32">
        <f>ROUND(O40*总览!$B$14/12,0)</f>
        <v/>
      </c>
      <c r="G41" s="32">
        <f>D41+E41+F41</f>
        <v/>
      </c>
      <c r="H41" s="32">
        <f>IF(OR(B41&gt;2027,AND(B41=2027,VALUE(LEFT(C41,LEN(C41)-1))&gt;=9)),IF(AND(总览!$L$10&lt;&gt;"",B41*100+VALUE(LEFT(C41,LEN(C41)-1))&gt;=总览!$L$10),总览!$M$10,IF(AND(总览!$J$10&lt;&gt;"",B41*100+VALUE(LEFT(C41,LEN(C41)-1))&gt;=总览!$J$10),总览!$K$10,IF(AND(总览!$H$10&lt;&gt;"",B41*100+VALUE(LEFT(C41,LEN(C41)-1))&gt;=总览!$H$10),总览!$I$10,IF(AND(总览!$F$10&lt;&gt;"",B41*100+VALUE(LEFT(C41,LEN(C41)-1))&gt;=总览!$F$10),总览!$G$10,IF(AND(总览!$D$10&lt;&gt;"",B41*100+VALUE(LEFT(C41,LEN(C41)-1))&gt;=总览!$D$10),总览!$E$10,总览!$B$10))))),IF(AND(总览!$L$9&lt;&gt;"",B41*100+VALUE(LEFT(C41,LEN(C41)-1))&gt;=总览!$L$9),总览!$M$9,IF(AND(总览!$J$9&lt;&gt;"",B41*100+VALUE(LEFT(C41,LEN(C41)-1))&gt;=总览!$J$9),总览!$K$9,IF(AND(总览!$H$9&lt;&gt;"",B41*100+VALUE(LEFT(C41,LEN(C41)-1))&gt;=总览!$H$9),总览!$I$9,IF(AND(总览!$F$9&lt;&gt;"",B41*100+VALUE(LEFT(C41,LEN(C41)-1))&gt;=总览!$F$9),总览!$G$9,IF(AND(总览!$D$9&lt;&gt;"",B41*100+VALUE(LEFT(C41,LEN(C41)-1))&gt;=总览!$D$9),总览!$E$9,总览!$B$9))))))</f>
        <v/>
      </c>
      <c r="I41" s="32">
        <f>IF(AND(总览!$L$11&lt;&gt;"",B41*100+VALUE(LEFT(C41,LEN(C41)-1))&gt;=总览!$L$11),总览!$M$11,IF(AND(总览!$J$11&lt;&gt;"",B41*100+VALUE(LEFT(C41,LEN(C41)-1))&gt;=总览!$J$11),总览!$K$11,IF(AND(总览!$H$11&lt;&gt;"",B41*100+VALUE(LEFT(C41,LEN(C41)-1))&gt;=总览!$H$11),总览!$I$11,IF(AND(总览!$F$11&lt;&gt;"",B41*100+VALUE(LEFT(C41,LEN(C41)-1))&gt;=总览!$F$11),总览!$G$11,IF(AND(总览!$D$11&lt;&gt;"",B41*100+VALUE(LEFT(C41,LEN(C41)-1))&gt;=总览!$D$11),总览!$E$11,总览!$B$11)))))</f>
        <v/>
      </c>
      <c r="J41" s="32">
        <f>IF(OR(B41&gt;2027,AND(B41=2027,VALUE(LEFT(C41,LEN(C41)-1))&gt;=9)),IF(AND(总览!$L$12&lt;&gt;"",B41*100+VALUE(LEFT(C41,LEN(C41)-1))&gt;=总览!$L$12),总览!$M$12,IF(AND(总览!$J$12&lt;&gt;"",B41*100+VALUE(LEFT(C41,LEN(C41)-1))&gt;=总览!$J$12),总览!$K$12,IF(AND(总览!$H$12&lt;&gt;"",B41*100+VALUE(LEFT(C41,LEN(C41)-1))&gt;=总览!$H$12),总览!$I$12,IF(AND(总览!$F$12&lt;&gt;"",B41*100+VALUE(LEFT(C41,LEN(C41)-1))&gt;=总览!$F$12),总览!$G$12,IF(AND(总览!$D$12&lt;&gt;"",B41*100+VALUE(LEFT(C41,LEN(C41)-1))&gt;=总览!$D$12),总览!$E$12,总览!$B$12))))),0)</f>
        <v/>
      </c>
      <c r="K41" s="32">
        <f>IF(AND(B41=2026,C41="5月"),120000,IF(AND(B41=2027,C41="9月"),30000,IF(C41="10月",IF(AND(总览!$L$13&lt;&gt;"",B41*100+VALUE(LEFT(C41,LEN(C41)-1))&gt;=总览!$L$13),总览!$M$13,IF(AND(总览!$J$13&lt;&gt;"",B41*100+VALUE(LEFT(C41,LEN(C41)-1))&gt;=总览!$J$13),总览!$K$13,IF(AND(总览!$H$13&lt;&gt;"",B41*100+VALUE(LEFT(C41,LEN(C41)-1))&gt;=总览!$H$13),总览!$I$13,IF(AND(总览!$F$13&lt;&gt;"",B41*100+VALUE(LEFT(C41,LEN(C41)-1))&gt;=总览!$F$13),总览!$G$13,IF(AND(总览!$D$13&lt;&gt;"",B41*100+VALUE(LEFT(C41,LEN(C41)-1))&gt;=总览!$D$13),总览!$E$13,总览!$B$13))))),0)))</f>
        <v/>
      </c>
      <c r="L41" s="31" t="inlineStr"/>
      <c r="M41" s="32">
        <f>SUM(H41:K41)</f>
        <v/>
      </c>
      <c r="N41" s="32">
        <f>G41-M41</f>
        <v/>
      </c>
      <c r="O41" s="32">
        <f>O40+N41</f>
        <v/>
      </c>
    </row>
    <row r="42">
      <c r="A42" s="30" t="n">
        <v>41</v>
      </c>
      <c r="B42" s="30" t="n">
        <v>2029</v>
      </c>
      <c r="C42" s="30" t="inlineStr">
        <is>
          <t>6月</t>
        </is>
      </c>
      <c r="D42" s="11">
        <f>IF(AND(总览!$L$6&lt;&gt;"",B42*100+VALUE(LEFT(C42,LEN(C42)-1))&gt;=总览!$L$6),总览!$M$6,IF(AND(总览!$J$6&lt;&gt;"",B42*100+VALUE(LEFT(C42,LEN(C42)-1))&gt;=总览!$J$6),总览!$K$6,IF(AND(总览!$H$6&lt;&gt;"",B42*100+VALUE(LEFT(C42,LEN(C42)-1))&gt;=总览!$H$6),总览!$I$6,IF(AND(总览!$F$6&lt;&gt;"",B42*100+VALUE(LEFT(C42,LEN(C42)-1))&gt;=总览!$F$6),总览!$G$6,IF(AND(总览!$D$6&lt;&gt;"",B42*100+VALUE(LEFT(C42,LEN(C42)-1))&gt;=总览!$D$6),总览!$E$6,总览!$B$6)))))</f>
        <v/>
      </c>
      <c r="E42" s="11">
        <f>IF(C42="12月",IF(AND(总览!$L$7&lt;&gt;"",B42*100+VALUE(LEFT(C42,LEN(C42)-1))&gt;=总览!$L$7),总览!$M$7,IF(AND(总览!$J$7&lt;&gt;"",B42*100+VALUE(LEFT(C42,LEN(C42)-1))&gt;=总览!$J$7),总览!$K$7,IF(AND(总览!$H$7&lt;&gt;"",B42*100+VALUE(LEFT(C42,LEN(C42)-1))&gt;=总览!$H$7),总览!$I$7,IF(AND(总览!$F$7&lt;&gt;"",B42*100+VALUE(LEFT(C42,LEN(C42)-1))&gt;=总览!$F$7),总览!$G$7,IF(AND(总览!$D$7&lt;&gt;"",B42*100+VALUE(LEFT(C42,LEN(C42)-1))&gt;=总览!$D$7),总览!$E$7,总览!$B$7))))),0)</f>
        <v/>
      </c>
      <c r="F42" s="11">
        <f>ROUND(O41*总览!$B$14/12,0)</f>
        <v/>
      </c>
      <c r="G42" s="11">
        <f>D42+E42+F42</f>
        <v/>
      </c>
      <c r="H42" s="11">
        <f>IF(OR(B42&gt;2027,AND(B42=2027,VALUE(LEFT(C42,LEN(C42)-1))&gt;=9)),IF(AND(总览!$L$10&lt;&gt;"",B42*100+VALUE(LEFT(C42,LEN(C42)-1))&gt;=总览!$L$10),总览!$M$10,IF(AND(总览!$J$10&lt;&gt;"",B42*100+VALUE(LEFT(C42,LEN(C42)-1))&gt;=总览!$J$10),总览!$K$10,IF(AND(总览!$H$10&lt;&gt;"",B42*100+VALUE(LEFT(C42,LEN(C42)-1))&gt;=总览!$H$10),总览!$I$10,IF(AND(总览!$F$10&lt;&gt;"",B42*100+VALUE(LEFT(C42,LEN(C42)-1))&gt;=总览!$F$10),总览!$G$10,IF(AND(总览!$D$10&lt;&gt;"",B42*100+VALUE(LEFT(C42,LEN(C42)-1))&gt;=总览!$D$10),总览!$E$10,总览!$B$10))))),IF(AND(总览!$L$9&lt;&gt;"",B42*100+VALUE(LEFT(C42,LEN(C42)-1))&gt;=总览!$L$9),总览!$M$9,IF(AND(总览!$J$9&lt;&gt;"",B42*100+VALUE(LEFT(C42,LEN(C42)-1))&gt;=总览!$J$9),总览!$K$9,IF(AND(总览!$H$9&lt;&gt;"",B42*100+VALUE(LEFT(C42,LEN(C42)-1))&gt;=总览!$H$9),总览!$I$9,IF(AND(总览!$F$9&lt;&gt;"",B42*100+VALUE(LEFT(C42,LEN(C42)-1))&gt;=总览!$F$9),总览!$G$9,IF(AND(总览!$D$9&lt;&gt;"",B42*100+VALUE(LEFT(C42,LEN(C42)-1))&gt;=总览!$D$9),总览!$E$9,总览!$B$9))))))</f>
        <v/>
      </c>
      <c r="I42" s="11">
        <f>IF(AND(总览!$L$11&lt;&gt;"",B42*100+VALUE(LEFT(C42,LEN(C42)-1))&gt;=总览!$L$11),总览!$M$11,IF(AND(总览!$J$11&lt;&gt;"",B42*100+VALUE(LEFT(C42,LEN(C42)-1))&gt;=总览!$J$11),总览!$K$11,IF(AND(总览!$H$11&lt;&gt;"",B42*100+VALUE(LEFT(C42,LEN(C42)-1))&gt;=总览!$H$11),总览!$I$11,IF(AND(总览!$F$11&lt;&gt;"",B42*100+VALUE(LEFT(C42,LEN(C42)-1))&gt;=总览!$F$11),总览!$G$11,IF(AND(总览!$D$11&lt;&gt;"",B42*100+VALUE(LEFT(C42,LEN(C42)-1))&gt;=总览!$D$11),总览!$E$11,总览!$B$11)))))</f>
        <v/>
      </c>
      <c r="J42" s="11">
        <f>IF(OR(B42&gt;2027,AND(B42=2027,VALUE(LEFT(C42,LEN(C42)-1))&gt;=9)),IF(AND(总览!$L$12&lt;&gt;"",B42*100+VALUE(LEFT(C42,LEN(C42)-1))&gt;=总览!$L$12),总览!$M$12,IF(AND(总览!$J$12&lt;&gt;"",B42*100+VALUE(LEFT(C42,LEN(C42)-1))&gt;=总览!$J$12),总览!$K$12,IF(AND(总览!$H$12&lt;&gt;"",B42*100+VALUE(LEFT(C42,LEN(C42)-1))&gt;=总览!$H$12),总览!$I$12,IF(AND(总览!$F$12&lt;&gt;"",B42*100+VALUE(LEFT(C42,LEN(C42)-1))&gt;=总览!$F$12),总览!$G$12,IF(AND(总览!$D$12&lt;&gt;"",B42*100+VALUE(LEFT(C42,LEN(C42)-1))&gt;=总览!$D$12),总览!$E$12,总览!$B$12))))),0)</f>
        <v/>
      </c>
      <c r="K42" s="11">
        <f>IF(AND(B42=2026,C42="5月"),120000,IF(AND(B42=2027,C42="9月"),30000,IF(C42="10月",IF(AND(总览!$L$13&lt;&gt;"",B42*100+VALUE(LEFT(C42,LEN(C42)-1))&gt;=总览!$L$13),总览!$M$13,IF(AND(总览!$J$13&lt;&gt;"",B42*100+VALUE(LEFT(C42,LEN(C42)-1))&gt;=总览!$J$13),总览!$K$13,IF(AND(总览!$H$13&lt;&gt;"",B42*100+VALUE(LEFT(C42,LEN(C42)-1))&gt;=总览!$H$13),总览!$I$13,IF(AND(总览!$F$13&lt;&gt;"",B42*100+VALUE(LEFT(C42,LEN(C42)-1))&gt;=总览!$F$13),总览!$G$13,IF(AND(总览!$D$13&lt;&gt;"",B42*100+VALUE(LEFT(C42,LEN(C42)-1))&gt;=总览!$D$13),总览!$E$13,总览!$B$13))))),0)))</f>
        <v/>
      </c>
      <c r="L42" s="30" t="inlineStr"/>
      <c r="M42" s="11">
        <f>SUM(H42:K42)</f>
        <v/>
      </c>
      <c r="N42" s="11">
        <f>G42-M42</f>
        <v/>
      </c>
      <c r="O42" s="11">
        <f>O41+N42</f>
        <v/>
      </c>
    </row>
    <row r="43">
      <c r="A43" s="31" t="n">
        <v>42</v>
      </c>
      <c r="B43" s="31" t="n">
        <v>2029</v>
      </c>
      <c r="C43" s="31" t="inlineStr">
        <is>
          <t>7月</t>
        </is>
      </c>
      <c r="D43" s="32">
        <f>IF(AND(总览!$L$6&lt;&gt;"",B43*100+VALUE(LEFT(C43,LEN(C43)-1))&gt;=总览!$L$6),总览!$M$6,IF(AND(总览!$J$6&lt;&gt;"",B43*100+VALUE(LEFT(C43,LEN(C43)-1))&gt;=总览!$J$6),总览!$K$6,IF(AND(总览!$H$6&lt;&gt;"",B43*100+VALUE(LEFT(C43,LEN(C43)-1))&gt;=总览!$H$6),总览!$I$6,IF(AND(总览!$F$6&lt;&gt;"",B43*100+VALUE(LEFT(C43,LEN(C43)-1))&gt;=总览!$F$6),总览!$G$6,IF(AND(总览!$D$6&lt;&gt;"",B43*100+VALUE(LEFT(C43,LEN(C43)-1))&gt;=总览!$D$6),总览!$E$6,总览!$B$6)))))</f>
        <v/>
      </c>
      <c r="E43" s="32">
        <f>IF(C43="12月",IF(AND(总览!$L$7&lt;&gt;"",B43*100+VALUE(LEFT(C43,LEN(C43)-1))&gt;=总览!$L$7),总览!$M$7,IF(AND(总览!$J$7&lt;&gt;"",B43*100+VALUE(LEFT(C43,LEN(C43)-1))&gt;=总览!$J$7),总览!$K$7,IF(AND(总览!$H$7&lt;&gt;"",B43*100+VALUE(LEFT(C43,LEN(C43)-1))&gt;=总览!$H$7),总览!$I$7,IF(AND(总览!$F$7&lt;&gt;"",B43*100+VALUE(LEFT(C43,LEN(C43)-1))&gt;=总览!$F$7),总览!$G$7,IF(AND(总览!$D$7&lt;&gt;"",B43*100+VALUE(LEFT(C43,LEN(C43)-1))&gt;=总览!$D$7),总览!$E$7,总览!$B$7))))),0)</f>
        <v/>
      </c>
      <c r="F43" s="32">
        <f>ROUND(O42*总览!$B$14/12,0)</f>
        <v/>
      </c>
      <c r="G43" s="32">
        <f>D43+E43+F43</f>
        <v/>
      </c>
      <c r="H43" s="32">
        <f>IF(OR(B43&gt;2027,AND(B43=2027,VALUE(LEFT(C43,LEN(C43)-1))&gt;=9)),IF(AND(总览!$L$10&lt;&gt;"",B43*100+VALUE(LEFT(C43,LEN(C43)-1))&gt;=总览!$L$10),总览!$M$10,IF(AND(总览!$J$10&lt;&gt;"",B43*100+VALUE(LEFT(C43,LEN(C43)-1))&gt;=总览!$J$10),总览!$K$10,IF(AND(总览!$H$10&lt;&gt;"",B43*100+VALUE(LEFT(C43,LEN(C43)-1))&gt;=总览!$H$10),总览!$I$10,IF(AND(总览!$F$10&lt;&gt;"",B43*100+VALUE(LEFT(C43,LEN(C43)-1))&gt;=总览!$F$10),总览!$G$10,IF(AND(总览!$D$10&lt;&gt;"",B43*100+VALUE(LEFT(C43,LEN(C43)-1))&gt;=总览!$D$10),总览!$E$10,总览!$B$10))))),IF(AND(总览!$L$9&lt;&gt;"",B43*100+VALUE(LEFT(C43,LEN(C43)-1))&gt;=总览!$L$9),总览!$M$9,IF(AND(总览!$J$9&lt;&gt;"",B43*100+VALUE(LEFT(C43,LEN(C43)-1))&gt;=总览!$J$9),总览!$K$9,IF(AND(总览!$H$9&lt;&gt;"",B43*100+VALUE(LEFT(C43,LEN(C43)-1))&gt;=总览!$H$9),总览!$I$9,IF(AND(总览!$F$9&lt;&gt;"",B43*100+VALUE(LEFT(C43,LEN(C43)-1))&gt;=总览!$F$9),总览!$G$9,IF(AND(总览!$D$9&lt;&gt;"",B43*100+VALUE(LEFT(C43,LEN(C43)-1))&gt;=总览!$D$9),总览!$E$9,总览!$B$9))))))</f>
        <v/>
      </c>
      <c r="I43" s="32">
        <f>IF(AND(总览!$L$11&lt;&gt;"",B43*100+VALUE(LEFT(C43,LEN(C43)-1))&gt;=总览!$L$11),总览!$M$11,IF(AND(总览!$J$11&lt;&gt;"",B43*100+VALUE(LEFT(C43,LEN(C43)-1))&gt;=总览!$J$11),总览!$K$11,IF(AND(总览!$H$11&lt;&gt;"",B43*100+VALUE(LEFT(C43,LEN(C43)-1))&gt;=总览!$H$11),总览!$I$11,IF(AND(总览!$F$11&lt;&gt;"",B43*100+VALUE(LEFT(C43,LEN(C43)-1))&gt;=总览!$F$11),总览!$G$11,IF(AND(总览!$D$11&lt;&gt;"",B43*100+VALUE(LEFT(C43,LEN(C43)-1))&gt;=总览!$D$11),总览!$E$11,总览!$B$11)))))</f>
        <v/>
      </c>
      <c r="J43" s="32">
        <f>IF(OR(B43&gt;2027,AND(B43=2027,VALUE(LEFT(C43,LEN(C43)-1))&gt;=9)),IF(AND(总览!$L$12&lt;&gt;"",B43*100+VALUE(LEFT(C43,LEN(C43)-1))&gt;=总览!$L$12),总览!$M$12,IF(AND(总览!$J$12&lt;&gt;"",B43*100+VALUE(LEFT(C43,LEN(C43)-1))&gt;=总览!$J$12),总览!$K$12,IF(AND(总览!$H$12&lt;&gt;"",B43*100+VALUE(LEFT(C43,LEN(C43)-1))&gt;=总览!$H$12),总览!$I$12,IF(AND(总览!$F$12&lt;&gt;"",B43*100+VALUE(LEFT(C43,LEN(C43)-1))&gt;=总览!$F$12),总览!$G$12,IF(AND(总览!$D$12&lt;&gt;"",B43*100+VALUE(LEFT(C43,LEN(C43)-1))&gt;=总览!$D$12),总览!$E$12,总览!$B$12))))),0)</f>
        <v/>
      </c>
      <c r="K43" s="32">
        <f>IF(AND(B43=2026,C43="5月"),120000,IF(AND(B43=2027,C43="9月"),30000,IF(C43="10月",IF(AND(总览!$L$13&lt;&gt;"",B43*100+VALUE(LEFT(C43,LEN(C43)-1))&gt;=总览!$L$13),总览!$M$13,IF(AND(总览!$J$13&lt;&gt;"",B43*100+VALUE(LEFT(C43,LEN(C43)-1))&gt;=总览!$J$13),总览!$K$13,IF(AND(总览!$H$13&lt;&gt;"",B43*100+VALUE(LEFT(C43,LEN(C43)-1))&gt;=总览!$H$13),总览!$I$13,IF(AND(总览!$F$13&lt;&gt;"",B43*100+VALUE(LEFT(C43,LEN(C43)-1))&gt;=总览!$F$13),总览!$G$13,IF(AND(总览!$D$13&lt;&gt;"",B43*100+VALUE(LEFT(C43,LEN(C43)-1))&gt;=总览!$D$13),总览!$E$13,总览!$B$13))))),0)))</f>
        <v/>
      </c>
      <c r="L43" s="31" t="inlineStr"/>
      <c r="M43" s="32">
        <f>SUM(H43:K43)</f>
        <v/>
      </c>
      <c r="N43" s="32">
        <f>G43-M43</f>
        <v/>
      </c>
      <c r="O43" s="32">
        <f>O42+N43</f>
        <v/>
      </c>
    </row>
    <row r="44">
      <c r="A44" s="30" t="n">
        <v>43</v>
      </c>
      <c r="B44" s="30" t="n">
        <v>2029</v>
      </c>
      <c r="C44" s="30" t="inlineStr">
        <is>
          <t>8月</t>
        </is>
      </c>
      <c r="D44" s="11">
        <f>IF(AND(总览!$L$6&lt;&gt;"",B44*100+VALUE(LEFT(C44,LEN(C44)-1))&gt;=总览!$L$6),总览!$M$6,IF(AND(总览!$J$6&lt;&gt;"",B44*100+VALUE(LEFT(C44,LEN(C44)-1))&gt;=总览!$J$6),总览!$K$6,IF(AND(总览!$H$6&lt;&gt;"",B44*100+VALUE(LEFT(C44,LEN(C44)-1))&gt;=总览!$H$6),总览!$I$6,IF(AND(总览!$F$6&lt;&gt;"",B44*100+VALUE(LEFT(C44,LEN(C44)-1))&gt;=总览!$F$6),总览!$G$6,IF(AND(总览!$D$6&lt;&gt;"",B44*100+VALUE(LEFT(C44,LEN(C44)-1))&gt;=总览!$D$6),总览!$E$6,总览!$B$6)))))</f>
        <v/>
      </c>
      <c r="E44" s="11">
        <f>IF(C44="12月",IF(AND(总览!$L$7&lt;&gt;"",B44*100+VALUE(LEFT(C44,LEN(C44)-1))&gt;=总览!$L$7),总览!$M$7,IF(AND(总览!$J$7&lt;&gt;"",B44*100+VALUE(LEFT(C44,LEN(C44)-1))&gt;=总览!$J$7),总览!$K$7,IF(AND(总览!$H$7&lt;&gt;"",B44*100+VALUE(LEFT(C44,LEN(C44)-1))&gt;=总览!$H$7),总览!$I$7,IF(AND(总览!$F$7&lt;&gt;"",B44*100+VALUE(LEFT(C44,LEN(C44)-1))&gt;=总览!$F$7),总览!$G$7,IF(AND(总览!$D$7&lt;&gt;"",B44*100+VALUE(LEFT(C44,LEN(C44)-1))&gt;=总览!$D$7),总览!$E$7,总览!$B$7))))),0)</f>
        <v/>
      </c>
      <c r="F44" s="11">
        <f>ROUND(O43*总览!$B$14/12,0)</f>
        <v/>
      </c>
      <c r="G44" s="11">
        <f>D44+E44+F44</f>
        <v/>
      </c>
      <c r="H44" s="11">
        <f>IF(OR(B44&gt;2027,AND(B44=2027,VALUE(LEFT(C44,LEN(C44)-1))&gt;=9)),IF(AND(总览!$L$10&lt;&gt;"",B44*100+VALUE(LEFT(C44,LEN(C44)-1))&gt;=总览!$L$10),总览!$M$10,IF(AND(总览!$J$10&lt;&gt;"",B44*100+VALUE(LEFT(C44,LEN(C44)-1))&gt;=总览!$J$10),总览!$K$10,IF(AND(总览!$H$10&lt;&gt;"",B44*100+VALUE(LEFT(C44,LEN(C44)-1))&gt;=总览!$H$10),总览!$I$10,IF(AND(总览!$F$10&lt;&gt;"",B44*100+VALUE(LEFT(C44,LEN(C44)-1))&gt;=总览!$F$10),总览!$G$10,IF(AND(总览!$D$10&lt;&gt;"",B44*100+VALUE(LEFT(C44,LEN(C44)-1))&gt;=总览!$D$10),总览!$E$10,总览!$B$10))))),IF(AND(总览!$L$9&lt;&gt;"",B44*100+VALUE(LEFT(C44,LEN(C44)-1))&gt;=总览!$L$9),总览!$M$9,IF(AND(总览!$J$9&lt;&gt;"",B44*100+VALUE(LEFT(C44,LEN(C44)-1))&gt;=总览!$J$9),总览!$K$9,IF(AND(总览!$H$9&lt;&gt;"",B44*100+VALUE(LEFT(C44,LEN(C44)-1))&gt;=总览!$H$9),总览!$I$9,IF(AND(总览!$F$9&lt;&gt;"",B44*100+VALUE(LEFT(C44,LEN(C44)-1))&gt;=总览!$F$9),总览!$G$9,IF(AND(总览!$D$9&lt;&gt;"",B44*100+VALUE(LEFT(C44,LEN(C44)-1))&gt;=总览!$D$9),总览!$E$9,总览!$B$9))))))</f>
        <v/>
      </c>
      <c r="I44" s="11">
        <f>IF(AND(总览!$L$11&lt;&gt;"",B44*100+VALUE(LEFT(C44,LEN(C44)-1))&gt;=总览!$L$11),总览!$M$11,IF(AND(总览!$J$11&lt;&gt;"",B44*100+VALUE(LEFT(C44,LEN(C44)-1))&gt;=总览!$J$11),总览!$K$11,IF(AND(总览!$H$11&lt;&gt;"",B44*100+VALUE(LEFT(C44,LEN(C44)-1))&gt;=总览!$H$11),总览!$I$11,IF(AND(总览!$F$11&lt;&gt;"",B44*100+VALUE(LEFT(C44,LEN(C44)-1))&gt;=总览!$F$11),总览!$G$11,IF(AND(总览!$D$11&lt;&gt;"",B44*100+VALUE(LEFT(C44,LEN(C44)-1))&gt;=总览!$D$11),总览!$E$11,总览!$B$11)))))</f>
        <v/>
      </c>
      <c r="J44" s="11">
        <f>IF(OR(B44&gt;2027,AND(B44=2027,VALUE(LEFT(C44,LEN(C44)-1))&gt;=9)),IF(AND(总览!$L$12&lt;&gt;"",B44*100+VALUE(LEFT(C44,LEN(C44)-1))&gt;=总览!$L$12),总览!$M$12,IF(AND(总览!$J$12&lt;&gt;"",B44*100+VALUE(LEFT(C44,LEN(C44)-1))&gt;=总览!$J$12),总览!$K$12,IF(AND(总览!$H$12&lt;&gt;"",B44*100+VALUE(LEFT(C44,LEN(C44)-1))&gt;=总览!$H$12),总览!$I$12,IF(AND(总览!$F$12&lt;&gt;"",B44*100+VALUE(LEFT(C44,LEN(C44)-1))&gt;=总览!$F$12),总览!$G$12,IF(AND(总览!$D$12&lt;&gt;"",B44*100+VALUE(LEFT(C44,LEN(C44)-1))&gt;=总览!$D$12),总览!$E$12,总览!$B$12))))),0)</f>
        <v/>
      </c>
      <c r="K44" s="11">
        <f>IF(AND(B44=2026,C44="5月"),120000,IF(AND(B44=2027,C44="9月"),30000,IF(C44="10月",IF(AND(总览!$L$13&lt;&gt;"",B44*100+VALUE(LEFT(C44,LEN(C44)-1))&gt;=总览!$L$13),总览!$M$13,IF(AND(总览!$J$13&lt;&gt;"",B44*100+VALUE(LEFT(C44,LEN(C44)-1))&gt;=总览!$J$13),总览!$K$13,IF(AND(总览!$H$13&lt;&gt;"",B44*100+VALUE(LEFT(C44,LEN(C44)-1))&gt;=总览!$H$13),总览!$I$13,IF(AND(总览!$F$13&lt;&gt;"",B44*100+VALUE(LEFT(C44,LEN(C44)-1))&gt;=总览!$F$13),总览!$G$13,IF(AND(总览!$D$13&lt;&gt;"",B44*100+VALUE(LEFT(C44,LEN(C44)-1))&gt;=总览!$D$13),总览!$E$13,总览!$B$13))))),0)))</f>
        <v/>
      </c>
      <c r="L44" s="30" t="inlineStr"/>
      <c r="M44" s="11">
        <f>SUM(H44:K44)</f>
        <v/>
      </c>
      <c r="N44" s="11">
        <f>G44-M44</f>
        <v/>
      </c>
      <c r="O44" s="11">
        <f>O43+N44</f>
        <v/>
      </c>
    </row>
    <row r="45">
      <c r="A45" s="31" t="n">
        <v>44</v>
      </c>
      <c r="B45" s="31" t="n">
        <v>2029</v>
      </c>
      <c r="C45" s="31" t="inlineStr">
        <is>
          <t>9月</t>
        </is>
      </c>
      <c r="D45" s="32">
        <f>IF(AND(总览!$L$6&lt;&gt;"",B45*100+VALUE(LEFT(C45,LEN(C45)-1))&gt;=总览!$L$6),总览!$M$6,IF(AND(总览!$J$6&lt;&gt;"",B45*100+VALUE(LEFT(C45,LEN(C45)-1))&gt;=总览!$J$6),总览!$K$6,IF(AND(总览!$H$6&lt;&gt;"",B45*100+VALUE(LEFT(C45,LEN(C45)-1))&gt;=总览!$H$6),总览!$I$6,IF(AND(总览!$F$6&lt;&gt;"",B45*100+VALUE(LEFT(C45,LEN(C45)-1))&gt;=总览!$F$6),总览!$G$6,IF(AND(总览!$D$6&lt;&gt;"",B45*100+VALUE(LEFT(C45,LEN(C45)-1))&gt;=总览!$D$6),总览!$E$6,总览!$B$6)))))</f>
        <v/>
      </c>
      <c r="E45" s="32">
        <f>IF(C45="12月",IF(AND(总览!$L$7&lt;&gt;"",B45*100+VALUE(LEFT(C45,LEN(C45)-1))&gt;=总览!$L$7),总览!$M$7,IF(AND(总览!$J$7&lt;&gt;"",B45*100+VALUE(LEFT(C45,LEN(C45)-1))&gt;=总览!$J$7),总览!$K$7,IF(AND(总览!$H$7&lt;&gt;"",B45*100+VALUE(LEFT(C45,LEN(C45)-1))&gt;=总览!$H$7),总览!$I$7,IF(AND(总览!$F$7&lt;&gt;"",B45*100+VALUE(LEFT(C45,LEN(C45)-1))&gt;=总览!$F$7),总览!$G$7,IF(AND(总览!$D$7&lt;&gt;"",B45*100+VALUE(LEFT(C45,LEN(C45)-1))&gt;=总览!$D$7),总览!$E$7,总览!$B$7))))),0)</f>
        <v/>
      </c>
      <c r="F45" s="32">
        <f>ROUND(O44*总览!$B$14/12,0)</f>
        <v/>
      </c>
      <c r="G45" s="32">
        <f>D45+E45+F45</f>
        <v/>
      </c>
      <c r="H45" s="32">
        <f>IF(OR(B45&gt;2027,AND(B45=2027,VALUE(LEFT(C45,LEN(C45)-1))&gt;=9)),IF(AND(总览!$L$10&lt;&gt;"",B45*100+VALUE(LEFT(C45,LEN(C45)-1))&gt;=总览!$L$10),总览!$M$10,IF(AND(总览!$J$10&lt;&gt;"",B45*100+VALUE(LEFT(C45,LEN(C45)-1))&gt;=总览!$J$10),总览!$K$10,IF(AND(总览!$H$10&lt;&gt;"",B45*100+VALUE(LEFT(C45,LEN(C45)-1))&gt;=总览!$H$10),总览!$I$10,IF(AND(总览!$F$10&lt;&gt;"",B45*100+VALUE(LEFT(C45,LEN(C45)-1))&gt;=总览!$F$10),总览!$G$10,IF(AND(总览!$D$10&lt;&gt;"",B45*100+VALUE(LEFT(C45,LEN(C45)-1))&gt;=总览!$D$10),总览!$E$10,总览!$B$10))))),IF(AND(总览!$L$9&lt;&gt;"",B45*100+VALUE(LEFT(C45,LEN(C45)-1))&gt;=总览!$L$9),总览!$M$9,IF(AND(总览!$J$9&lt;&gt;"",B45*100+VALUE(LEFT(C45,LEN(C45)-1))&gt;=总览!$J$9),总览!$K$9,IF(AND(总览!$H$9&lt;&gt;"",B45*100+VALUE(LEFT(C45,LEN(C45)-1))&gt;=总览!$H$9),总览!$I$9,IF(AND(总览!$F$9&lt;&gt;"",B45*100+VALUE(LEFT(C45,LEN(C45)-1))&gt;=总览!$F$9),总览!$G$9,IF(AND(总览!$D$9&lt;&gt;"",B45*100+VALUE(LEFT(C45,LEN(C45)-1))&gt;=总览!$D$9),总览!$E$9,总览!$B$9))))))</f>
        <v/>
      </c>
      <c r="I45" s="32">
        <f>IF(AND(总览!$L$11&lt;&gt;"",B45*100+VALUE(LEFT(C45,LEN(C45)-1))&gt;=总览!$L$11),总览!$M$11,IF(AND(总览!$J$11&lt;&gt;"",B45*100+VALUE(LEFT(C45,LEN(C45)-1))&gt;=总览!$J$11),总览!$K$11,IF(AND(总览!$H$11&lt;&gt;"",B45*100+VALUE(LEFT(C45,LEN(C45)-1))&gt;=总览!$H$11),总览!$I$11,IF(AND(总览!$F$11&lt;&gt;"",B45*100+VALUE(LEFT(C45,LEN(C45)-1))&gt;=总览!$F$11),总览!$G$11,IF(AND(总览!$D$11&lt;&gt;"",B45*100+VALUE(LEFT(C45,LEN(C45)-1))&gt;=总览!$D$11),总览!$E$11,总览!$B$11)))))</f>
        <v/>
      </c>
      <c r="J45" s="32">
        <f>IF(OR(B45&gt;2027,AND(B45=2027,VALUE(LEFT(C45,LEN(C45)-1))&gt;=9)),IF(AND(总览!$L$12&lt;&gt;"",B45*100+VALUE(LEFT(C45,LEN(C45)-1))&gt;=总览!$L$12),总览!$M$12,IF(AND(总览!$J$12&lt;&gt;"",B45*100+VALUE(LEFT(C45,LEN(C45)-1))&gt;=总览!$J$12),总览!$K$12,IF(AND(总览!$H$12&lt;&gt;"",B45*100+VALUE(LEFT(C45,LEN(C45)-1))&gt;=总览!$H$12),总览!$I$12,IF(AND(总览!$F$12&lt;&gt;"",B45*100+VALUE(LEFT(C45,LEN(C45)-1))&gt;=总览!$F$12),总览!$G$12,IF(AND(总览!$D$12&lt;&gt;"",B45*100+VALUE(LEFT(C45,LEN(C45)-1))&gt;=总览!$D$12),总览!$E$12,总览!$B$12))))),0)</f>
        <v/>
      </c>
      <c r="K45" s="32">
        <f>IF(AND(B45=2026,C45="5月"),120000,IF(AND(B45=2027,C45="9月"),30000,IF(C45="10月",IF(AND(总览!$L$13&lt;&gt;"",B45*100+VALUE(LEFT(C45,LEN(C45)-1))&gt;=总览!$L$13),总览!$M$13,IF(AND(总览!$J$13&lt;&gt;"",B45*100+VALUE(LEFT(C45,LEN(C45)-1))&gt;=总览!$J$13),总览!$K$13,IF(AND(总览!$H$13&lt;&gt;"",B45*100+VALUE(LEFT(C45,LEN(C45)-1))&gt;=总览!$H$13),总览!$I$13,IF(AND(总览!$F$13&lt;&gt;"",B45*100+VALUE(LEFT(C45,LEN(C45)-1))&gt;=总览!$F$13),总览!$G$13,IF(AND(总览!$D$13&lt;&gt;"",B45*100+VALUE(LEFT(C45,LEN(C45)-1))&gt;=总览!$D$13),总览!$E$13,总览!$B$13))))),0)))</f>
        <v/>
      </c>
      <c r="L45" s="31" t="inlineStr"/>
      <c r="M45" s="32">
        <f>SUM(H45:K45)</f>
        <v/>
      </c>
      <c r="N45" s="32">
        <f>G45-M45</f>
        <v/>
      </c>
      <c r="O45" s="32">
        <f>O44+N45</f>
        <v/>
      </c>
    </row>
    <row r="46">
      <c r="A46" s="33" t="n">
        <v>45</v>
      </c>
      <c r="B46" s="33" t="n">
        <v>2029</v>
      </c>
      <c r="C46" s="33" t="inlineStr">
        <is>
          <t>10月</t>
        </is>
      </c>
      <c r="D46" s="34">
        <f>IF(AND(总览!$L$6&lt;&gt;"",B46*100+VALUE(LEFT(C46,LEN(C46)-1))&gt;=总览!$L$6),总览!$M$6,IF(AND(总览!$J$6&lt;&gt;"",B46*100+VALUE(LEFT(C46,LEN(C46)-1))&gt;=总览!$J$6),总览!$K$6,IF(AND(总览!$H$6&lt;&gt;"",B46*100+VALUE(LEFT(C46,LEN(C46)-1))&gt;=总览!$H$6),总览!$I$6,IF(AND(总览!$F$6&lt;&gt;"",B46*100+VALUE(LEFT(C46,LEN(C46)-1))&gt;=总览!$F$6),总览!$G$6,IF(AND(总览!$D$6&lt;&gt;"",B46*100+VALUE(LEFT(C46,LEN(C46)-1))&gt;=总览!$D$6),总览!$E$6,总览!$B$6)))))</f>
        <v/>
      </c>
      <c r="E46" s="34">
        <f>IF(C46="12月",IF(AND(总览!$L$7&lt;&gt;"",B46*100+VALUE(LEFT(C46,LEN(C46)-1))&gt;=总览!$L$7),总览!$M$7,IF(AND(总览!$J$7&lt;&gt;"",B46*100+VALUE(LEFT(C46,LEN(C46)-1))&gt;=总览!$J$7),总览!$K$7,IF(AND(总览!$H$7&lt;&gt;"",B46*100+VALUE(LEFT(C46,LEN(C46)-1))&gt;=总览!$H$7),总览!$I$7,IF(AND(总览!$F$7&lt;&gt;"",B46*100+VALUE(LEFT(C46,LEN(C46)-1))&gt;=总览!$F$7),总览!$G$7,IF(AND(总览!$D$7&lt;&gt;"",B46*100+VALUE(LEFT(C46,LEN(C46)-1))&gt;=总览!$D$7),总览!$E$7,总览!$B$7))))),0)</f>
        <v/>
      </c>
      <c r="F46" s="34">
        <f>ROUND(O45*总览!$B$14/12,0)</f>
        <v/>
      </c>
      <c r="G46" s="34">
        <f>D46+E46+F46</f>
        <v/>
      </c>
      <c r="H46" s="34">
        <f>IF(OR(B46&gt;2027,AND(B46=2027,VALUE(LEFT(C46,LEN(C46)-1))&gt;=9)),IF(AND(总览!$L$10&lt;&gt;"",B46*100+VALUE(LEFT(C46,LEN(C46)-1))&gt;=总览!$L$10),总览!$M$10,IF(AND(总览!$J$10&lt;&gt;"",B46*100+VALUE(LEFT(C46,LEN(C46)-1))&gt;=总览!$J$10),总览!$K$10,IF(AND(总览!$H$10&lt;&gt;"",B46*100+VALUE(LEFT(C46,LEN(C46)-1))&gt;=总览!$H$10),总览!$I$10,IF(AND(总览!$F$10&lt;&gt;"",B46*100+VALUE(LEFT(C46,LEN(C46)-1))&gt;=总览!$F$10),总览!$G$10,IF(AND(总览!$D$10&lt;&gt;"",B46*100+VALUE(LEFT(C46,LEN(C46)-1))&gt;=总览!$D$10),总览!$E$10,总览!$B$10))))),IF(AND(总览!$L$9&lt;&gt;"",B46*100+VALUE(LEFT(C46,LEN(C46)-1))&gt;=总览!$L$9),总览!$M$9,IF(AND(总览!$J$9&lt;&gt;"",B46*100+VALUE(LEFT(C46,LEN(C46)-1))&gt;=总览!$J$9),总览!$K$9,IF(AND(总览!$H$9&lt;&gt;"",B46*100+VALUE(LEFT(C46,LEN(C46)-1))&gt;=总览!$H$9),总览!$I$9,IF(AND(总览!$F$9&lt;&gt;"",B46*100+VALUE(LEFT(C46,LEN(C46)-1))&gt;=总览!$F$9),总览!$G$9,IF(AND(总览!$D$9&lt;&gt;"",B46*100+VALUE(LEFT(C46,LEN(C46)-1))&gt;=总览!$D$9),总览!$E$9,总览!$B$9))))))</f>
        <v/>
      </c>
      <c r="I46" s="34">
        <f>IF(AND(总览!$L$11&lt;&gt;"",B46*100+VALUE(LEFT(C46,LEN(C46)-1))&gt;=总览!$L$11),总览!$M$11,IF(AND(总览!$J$11&lt;&gt;"",B46*100+VALUE(LEFT(C46,LEN(C46)-1))&gt;=总览!$J$11),总览!$K$11,IF(AND(总览!$H$11&lt;&gt;"",B46*100+VALUE(LEFT(C46,LEN(C46)-1))&gt;=总览!$H$11),总览!$I$11,IF(AND(总览!$F$11&lt;&gt;"",B46*100+VALUE(LEFT(C46,LEN(C46)-1))&gt;=总览!$F$11),总览!$G$11,IF(AND(总览!$D$11&lt;&gt;"",B46*100+VALUE(LEFT(C46,LEN(C46)-1))&gt;=总览!$D$11),总览!$E$11,总览!$B$11)))))</f>
        <v/>
      </c>
      <c r="J46" s="34">
        <f>IF(OR(B46&gt;2027,AND(B46=2027,VALUE(LEFT(C46,LEN(C46)-1))&gt;=9)),IF(AND(总览!$L$12&lt;&gt;"",B46*100+VALUE(LEFT(C46,LEN(C46)-1))&gt;=总览!$L$12),总览!$M$12,IF(AND(总览!$J$12&lt;&gt;"",B46*100+VALUE(LEFT(C46,LEN(C46)-1))&gt;=总览!$J$12),总览!$K$12,IF(AND(总览!$H$12&lt;&gt;"",B46*100+VALUE(LEFT(C46,LEN(C46)-1))&gt;=总览!$H$12),总览!$I$12,IF(AND(总览!$F$12&lt;&gt;"",B46*100+VALUE(LEFT(C46,LEN(C46)-1))&gt;=总览!$F$12),总览!$G$12,IF(AND(总览!$D$12&lt;&gt;"",B46*100+VALUE(LEFT(C46,LEN(C46)-1))&gt;=总览!$D$12),总览!$E$12,总览!$B$12))))),0)</f>
        <v/>
      </c>
      <c r="K46" s="34">
        <f>IF(AND(B46=2026,C46="5月"),120000,IF(AND(B46=2027,C46="9月"),30000,IF(C46="10月",IF(AND(总览!$L$13&lt;&gt;"",B46*100+VALUE(LEFT(C46,LEN(C46)-1))&gt;=总览!$L$13),总览!$M$13,IF(AND(总览!$J$13&lt;&gt;"",B46*100+VALUE(LEFT(C46,LEN(C46)-1))&gt;=总览!$J$13),总览!$K$13,IF(AND(总览!$H$13&lt;&gt;"",B46*100+VALUE(LEFT(C46,LEN(C46)-1))&gt;=总览!$H$13),总览!$I$13,IF(AND(总览!$F$13&lt;&gt;"",B46*100+VALUE(LEFT(C46,LEN(C46)-1))&gt;=总览!$F$13),总览!$G$13,IF(AND(总览!$D$13&lt;&gt;"",B46*100+VALUE(LEFT(C46,LEN(C46)-1))&gt;=总览!$D$13),总览!$E$13,总览!$B$13))))),0)))</f>
        <v/>
      </c>
      <c r="L46" s="33" t="inlineStr">
        <is>
          <t>年度旅游</t>
        </is>
      </c>
      <c r="M46" s="34">
        <f>SUM(H46:K46)</f>
        <v/>
      </c>
      <c r="N46" s="34">
        <f>G46-M46</f>
        <v/>
      </c>
      <c r="O46" s="34">
        <f>O45+N46</f>
        <v/>
      </c>
    </row>
    <row r="47">
      <c r="A47" s="31" t="n">
        <v>46</v>
      </c>
      <c r="B47" s="31" t="n">
        <v>2029</v>
      </c>
      <c r="C47" s="31" t="inlineStr">
        <is>
          <t>11月</t>
        </is>
      </c>
      <c r="D47" s="32">
        <f>IF(AND(总览!$L$6&lt;&gt;"",B47*100+VALUE(LEFT(C47,LEN(C47)-1))&gt;=总览!$L$6),总览!$M$6,IF(AND(总览!$J$6&lt;&gt;"",B47*100+VALUE(LEFT(C47,LEN(C47)-1))&gt;=总览!$J$6),总览!$K$6,IF(AND(总览!$H$6&lt;&gt;"",B47*100+VALUE(LEFT(C47,LEN(C47)-1))&gt;=总览!$H$6),总览!$I$6,IF(AND(总览!$F$6&lt;&gt;"",B47*100+VALUE(LEFT(C47,LEN(C47)-1))&gt;=总览!$F$6),总览!$G$6,IF(AND(总览!$D$6&lt;&gt;"",B47*100+VALUE(LEFT(C47,LEN(C47)-1))&gt;=总览!$D$6),总览!$E$6,总览!$B$6)))))</f>
        <v/>
      </c>
      <c r="E47" s="32">
        <f>IF(C47="12月",IF(AND(总览!$L$7&lt;&gt;"",B47*100+VALUE(LEFT(C47,LEN(C47)-1))&gt;=总览!$L$7),总览!$M$7,IF(AND(总览!$J$7&lt;&gt;"",B47*100+VALUE(LEFT(C47,LEN(C47)-1))&gt;=总览!$J$7),总览!$K$7,IF(AND(总览!$H$7&lt;&gt;"",B47*100+VALUE(LEFT(C47,LEN(C47)-1))&gt;=总览!$H$7),总览!$I$7,IF(AND(总览!$F$7&lt;&gt;"",B47*100+VALUE(LEFT(C47,LEN(C47)-1))&gt;=总览!$F$7),总览!$G$7,IF(AND(总览!$D$7&lt;&gt;"",B47*100+VALUE(LEFT(C47,LEN(C47)-1))&gt;=总览!$D$7),总览!$E$7,总览!$B$7))))),0)</f>
        <v/>
      </c>
      <c r="F47" s="32">
        <f>ROUND(O46*总览!$B$14/12,0)</f>
        <v/>
      </c>
      <c r="G47" s="32">
        <f>D47+E47+F47</f>
        <v/>
      </c>
      <c r="H47" s="32">
        <f>IF(OR(B47&gt;2027,AND(B47=2027,VALUE(LEFT(C47,LEN(C47)-1))&gt;=9)),IF(AND(总览!$L$10&lt;&gt;"",B47*100+VALUE(LEFT(C47,LEN(C47)-1))&gt;=总览!$L$10),总览!$M$10,IF(AND(总览!$J$10&lt;&gt;"",B47*100+VALUE(LEFT(C47,LEN(C47)-1))&gt;=总览!$J$10),总览!$K$10,IF(AND(总览!$H$10&lt;&gt;"",B47*100+VALUE(LEFT(C47,LEN(C47)-1))&gt;=总览!$H$10),总览!$I$10,IF(AND(总览!$F$10&lt;&gt;"",B47*100+VALUE(LEFT(C47,LEN(C47)-1))&gt;=总览!$F$10),总览!$G$10,IF(AND(总览!$D$10&lt;&gt;"",B47*100+VALUE(LEFT(C47,LEN(C47)-1))&gt;=总览!$D$10),总览!$E$10,总览!$B$10))))),IF(AND(总览!$L$9&lt;&gt;"",B47*100+VALUE(LEFT(C47,LEN(C47)-1))&gt;=总览!$L$9),总览!$M$9,IF(AND(总览!$J$9&lt;&gt;"",B47*100+VALUE(LEFT(C47,LEN(C47)-1))&gt;=总览!$J$9),总览!$K$9,IF(AND(总览!$H$9&lt;&gt;"",B47*100+VALUE(LEFT(C47,LEN(C47)-1))&gt;=总览!$H$9),总览!$I$9,IF(AND(总览!$F$9&lt;&gt;"",B47*100+VALUE(LEFT(C47,LEN(C47)-1))&gt;=总览!$F$9),总览!$G$9,IF(AND(总览!$D$9&lt;&gt;"",B47*100+VALUE(LEFT(C47,LEN(C47)-1))&gt;=总览!$D$9),总览!$E$9,总览!$B$9))))))</f>
        <v/>
      </c>
      <c r="I47" s="32">
        <f>IF(AND(总览!$L$11&lt;&gt;"",B47*100+VALUE(LEFT(C47,LEN(C47)-1))&gt;=总览!$L$11),总览!$M$11,IF(AND(总览!$J$11&lt;&gt;"",B47*100+VALUE(LEFT(C47,LEN(C47)-1))&gt;=总览!$J$11),总览!$K$11,IF(AND(总览!$H$11&lt;&gt;"",B47*100+VALUE(LEFT(C47,LEN(C47)-1))&gt;=总览!$H$11),总览!$I$11,IF(AND(总览!$F$11&lt;&gt;"",B47*100+VALUE(LEFT(C47,LEN(C47)-1))&gt;=总览!$F$11),总览!$G$11,IF(AND(总览!$D$11&lt;&gt;"",B47*100+VALUE(LEFT(C47,LEN(C47)-1))&gt;=总览!$D$11),总览!$E$11,总览!$B$11)))))</f>
        <v/>
      </c>
      <c r="J47" s="32">
        <f>IF(OR(B47&gt;2027,AND(B47=2027,VALUE(LEFT(C47,LEN(C47)-1))&gt;=9)),IF(AND(总览!$L$12&lt;&gt;"",B47*100+VALUE(LEFT(C47,LEN(C47)-1))&gt;=总览!$L$12),总览!$M$12,IF(AND(总览!$J$12&lt;&gt;"",B47*100+VALUE(LEFT(C47,LEN(C47)-1))&gt;=总览!$J$12),总览!$K$12,IF(AND(总览!$H$12&lt;&gt;"",B47*100+VALUE(LEFT(C47,LEN(C47)-1))&gt;=总览!$H$12),总览!$I$12,IF(AND(总览!$F$12&lt;&gt;"",B47*100+VALUE(LEFT(C47,LEN(C47)-1))&gt;=总览!$F$12),总览!$G$12,IF(AND(总览!$D$12&lt;&gt;"",B47*100+VALUE(LEFT(C47,LEN(C47)-1))&gt;=总览!$D$12),总览!$E$12,总览!$B$12))))),0)</f>
        <v/>
      </c>
      <c r="K47" s="32">
        <f>IF(AND(B47=2026,C47="5月"),120000,IF(AND(B47=2027,C47="9月"),30000,IF(C47="10月",IF(AND(总览!$L$13&lt;&gt;"",B47*100+VALUE(LEFT(C47,LEN(C47)-1))&gt;=总览!$L$13),总览!$M$13,IF(AND(总览!$J$13&lt;&gt;"",B47*100+VALUE(LEFT(C47,LEN(C47)-1))&gt;=总览!$J$13),总览!$K$13,IF(AND(总览!$H$13&lt;&gt;"",B47*100+VALUE(LEFT(C47,LEN(C47)-1))&gt;=总览!$H$13),总览!$I$13,IF(AND(总览!$F$13&lt;&gt;"",B47*100+VALUE(LEFT(C47,LEN(C47)-1))&gt;=总览!$F$13),总览!$G$13,IF(AND(总览!$D$13&lt;&gt;"",B47*100+VALUE(LEFT(C47,LEN(C47)-1))&gt;=总览!$D$13),总览!$E$13,总览!$B$13))))),0)))</f>
        <v/>
      </c>
      <c r="L47" s="31" t="inlineStr"/>
      <c r="M47" s="32">
        <f>SUM(H47:K47)</f>
        <v/>
      </c>
      <c r="N47" s="32">
        <f>G47-M47</f>
        <v/>
      </c>
      <c r="O47" s="32">
        <f>O46+N47</f>
        <v/>
      </c>
    </row>
    <row r="48">
      <c r="A48" s="35" t="n">
        <v>47</v>
      </c>
      <c r="B48" s="35" t="n">
        <v>2029</v>
      </c>
      <c r="C48" s="35" t="inlineStr">
        <is>
          <t>12月</t>
        </is>
      </c>
      <c r="D48" s="36">
        <f>IF(AND(总览!$L$6&lt;&gt;"",B48*100+VALUE(LEFT(C48,LEN(C48)-1))&gt;=总览!$L$6),总览!$M$6,IF(AND(总览!$J$6&lt;&gt;"",B48*100+VALUE(LEFT(C48,LEN(C48)-1))&gt;=总览!$J$6),总览!$K$6,IF(AND(总览!$H$6&lt;&gt;"",B48*100+VALUE(LEFT(C48,LEN(C48)-1))&gt;=总览!$H$6),总览!$I$6,IF(AND(总览!$F$6&lt;&gt;"",B48*100+VALUE(LEFT(C48,LEN(C48)-1))&gt;=总览!$F$6),总览!$G$6,IF(AND(总览!$D$6&lt;&gt;"",B48*100+VALUE(LEFT(C48,LEN(C48)-1))&gt;=总览!$D$6),总览!$E$6,总览!$B$6)))))</f>
        <v/>
      </c>
      <c r="E48" s="36">
        <f>IF(C48="12月",IF(AND(总览!$L$7&lt;&gt;"",B48*100+VALUE(LEFT(C48,LEN(C48)-1))&gt;=总览!$L$7),总览!$M$7,IF(AND(总览!$J$7&lt;&gt;"",B48*100+VALUE(LEFT(C48,LEN(C48)-1))&gt;=总览!$J$7),总览!$K$7,IF(AND(总览!$H$7&lt;&gt;"",B48*100+VALUE(LEFT(C48,LEN(C48)-1))&gt;=总览!$H$7),总览!$I$7,IF(AND(总览!$F$7&lt;&gt;"",B48*100+VALUE(LEFT(C48,LEN(C48)-1))&gt;=总览!$F$7),总览!$G$7,IF(AND(总览!$D$7&lt;&gt;"",B48*100+VALUE(LEFT(C48,LEN(C48)-1))&gt;=总览!$D$7),总览!$E$7,总览!$B$7))))),0)</f>
        <v/>
      </c>
      <c r="F48" s="36">
        <f>ROUND(O47*总览!$B$14/12,0)</f>
        <v/>
      </c>
      <c r="G48" s="36">
        <f>D48+E48+F48</f>
        <v/>
      </c>
      <c r="H48" s="36">
        <f>IF(OR(B48&gt;2027,AND(B48=2027,VALUE(LEFT(C48,LEN(C48)-1))&gt;=9)),IF(AND(总览!$L$10&lt;&gt;"",B48*100+VALUE(LEFT(C48,LEN(C48)-1))&gt;=总览!$L$10),总览!$M$10,IF(AND(总览!$J$10&lt;&gt;"",B48*100+VALUE(LEFT(C48,LEN(C48)-1))&gt;=总览!$J$10),总览!$K$10,IF(AND(总览!$H$10&lt;&gt;"",B48*100+VALUE(LEFT(C48,LEN(C48)-1))&gt;=总览!$H$10),总览!$I$10,IF(AND(总览!$F$10&lt;&gt;"",B48*100+VALUE(LEFT(C48,LEN(C48)-1))&gt;=总览!$F$10),总览!$G$10,IF(AND(总览!$D$10&lt;&gt;"",B48*100+VALUE(LEFT(C48,LEN(C48)-1))&gt;=总览!$D$10),总览!$E$10,总览!$B$10))))),IF(AND(总览!$L$9&lt;&gt;"",B48*100+VALUE(LEFT(C48,LEN(C48)-1))&gt;=总览!$L$9),总览!$M$9,IF(AND(总览!$J$9&lt;&gt;"",B48*100+VALUE(LEFT(C48,LEN(C48)-1))&gt;=总览!$J$9),总览!$K$9,IF(AND(总览!$H$9&lt;&gt;"",B48*100+VALUE(LEFT(C48,LEN(C48)-1))&gt;=总览!$H$9),总览!$I$9,IF(AND(总览!$F$9&lt;&gt;"",B48*100+VALUE(LEFT(C48,LEN(C48)-1))&gt;=总览!$F$9),总览!$G$9,IF(AND(总览!$D$9&lt;&gt;"",B48*100+VALUE(LEFT(C48,LEN(C48)-1))&gt;=总览!$D$9),总览!$E$9,总览!$B$9))))))</f>
        <v/>
      </c>
      <c r="I48" s="36">
        <f>IF(AND(总览!$L$11&lt;&gt;"",B48*100+VALUE(LEFT(C48,LEN(C48)-1))&gt;=总览!$L$11),总览!$M$11,IF(AND(总览!$J$11&lt;&gt;"",B48*100+VALUE(LEFT(C48,LEN(C48)-1))&gt;=总览!$J$11),总览!$K$11,IF(AND(总览!$H$11&lt;&gt;"",B48*100+VALUE(LEFT(C48,LEN(C48)-1))&gt;=总览!$H$11),总览!$I$11,IF(AND(总览!$F$11&lt;&gt;"",B48*100+VALUE(LEFT(C48,LEN(C48)-1))&gt;=总览!$F$11),总览!$G$11,IF(AND(总览!$D$11&lt;&gt;"",B48*100+VALUE(LEFT(C48,LEN(C48)-1))&gt;=总览!$D$11),总览!$E$11,总览!$B$11)))))</f>
        <v/>
      </c>
      <c r="J48" s="36">
        <f>IF(OR(B48&gt;2027,AND(B48=2027,VALUE(LEFT(C48,LEN(C48)-1))&gt;=9)),IF(AND(总览!$L$12&lt;&gt;"",B48*100+VALUE(LEFT(C48,LEN(C48)-1))&gt;=总览!$L$12),总览!$M$12,IF(AND(总览!$J$12&lt;&gt;"",B48*100+VALUE(LEFT(C48,LEN(C48)-1))&gt;=总览!$J$12),总览!$K$12,IF(AND(总览!$H$12&lt;&gt;"",B48*100+VALUE(LEFT(C48,LEN(C48)-1))&gt;=总览!$H$12),总览!$I$12,IF(AND(总览!$F$12&lt;&gt;"",B48*100+VALUE(LEFT(C48,LEN(C48)-1))&gt;=总览!$F$12),总览!$G$12,IF(AND(总览!$D$12&lt;&gt;"",B48*100+VALUE(LEFT(C48,LEN(C48)-1))&gt;=总览!$D$12),总览!$E$12,总览!$B$12))))),0)</f>
        <v/>
      </c>
      <c r="K48" s="36">
        <f>IF(AND(B48=2026,C48="5月"),120000,IF(AND(B48=2027,C48="9月"),30000,IF(C48="10月",IF(AND(总览!$L$13&lt;&gt;"",B48*100+VALUE(LEFT(C48,LEN(C48)-1))&gt;=总览!$L$13),总览!$M$13,IF(AND(总览!$J$13&lt;&gt;"",B48*100+VALUE(LEFT(C48,LEN(C48)-1))&gt;=总览!$J$13),总览!$K$13,IF(AND(总览!$H$13&lt;&gt;"",B48*100+VALUE(LEFT(C48,LEN(C48)-1))&gt;=总览!$H$13),总览!$I$13,IF(AND(总览!$F$13&lt;&gt;"",B48*100+VALUE(LEFT(C48,LEN(C48)-1))&gt;=总览!$F$13),总览!$G$13,IF(AND(总览!$D$13&lt;&gt;"",B48*100+VALUE(LEFT(C48,LEN(C48)-1))&gt;=总览!$D$13),总览!$E$13,总览!$B$13))))),0)))</f>
        <v/>
      </c>
      <c r="L48" s="35" t="inlineStr"/>
      <c r="M48" s="36">
        <f>SUM(H48:K48)</f>
        <v/>
      </c>
      <c r="N48" s="36">
        <f>G48-M48</f>
        <v/>
      </c>
      <c r="O48" s="36">
        <f>O47+N48</f>
        <v/>
      </c>
    </row>
    <row r="49">
      <c r="A49" s="31" t="n">
        <v>48</v>
      </c>
      <c r="B49" s="31" t="n">
        <v>2030</v>
      </c>
      <c r="C49" s="31" t="inlineStr">
        <is>
          <t>1月</t>
        </is>
      </c>
      <c r="D49" s="32">
        <f>IF(AND(总览!$L$6&lt;&gt;"",B49*100+VALUE(LEFT(C49,LEN(C49)-1))&gt;=总览!$L$6),总览!$M$6,IF(AND(总览!$J$6&lt;&gt;"",B49*100+VALUE(LEFT(C49,LEN(C49)-1))&gt;=总览!$J$6),总览!$K$6,IF(AND(总览!$H$6&lt;&gt;"",B49*100+VALUE(LEFT(C49,LEN(C49)-1))&gt;=总览!$H$6),总览!$I$6,IF(AND(总览!$F$6&lt;&gt;"",B49*100+VALUE(LEFT(C49,LEN(C49)-1))&gt;=总览!$F$6),总览!$G$6,IF(AND(总览!$D$6&lt;&gt;"",B49*100+VALUE(LEFT(C49,LEN(C49)-1))&gt;=总览!$D$6),总览!$E$6,总览!$B$6)))))</f>
        <v/>
      </c>
      <c r="E49" s="32">
        <f>IF(C49="12月",IF(AND(总览!$L$7&lt;&gt;"",B49*100+VALUE(LEFT(C49,LEN(C49)-1))&gt;=总览!$L$7),总览!$M$7,IF(AND(总览!$J$7&lt;&gt;"",B49*100+VALUE(LEFT(C49,LEN(C49)-1))&gt;=总览!$J$7),总览!$K$7,IF(AND(总览!$H$7&lt;&gt;"",B49*100+VALUE(LEFT(C49,LEN(C49)-1))&gt;=总览!$H$7),总览!$I$7,IF(AND(总览!$F$7&lt;&gt;"",B49*100+VALUE(LEFT(C49,LEN(C49)-1))&gt;=总览!$F$7),总览!$G$7,IF(AND(总览!$D$7&lt;&gt;"",B49*100+VALUE(LEFT(C49,LEN(C49)-1))&gt;=总览!$D$7),总览!$E$7,总览!$B$7))))),0)</f>
        <v/>
      </c>
      <c r="F49" s="32">
        <f>ROUND(O48*总览!$B$14/12,0)</f>
        <v/>
      </c>
      <c r="G49" s="32">
        <f>D49+E49+F49</f>
        <v/>
      </c>
      <c r="H49" s="32">
        <f>IF(OR(B49&gt;2027,AND(B49=2027,VALUE(LEFT(C49,LEN(C49)-1))&gt;=9)),IF(AND(总览!$L$10&lt;&gt;"",B49*100+VALUE(LEFT(C49,LEN(C49)-1))&gt;=总览!$L$10),总览!$M$10,IF(AND(总览!$J$10&lt;&gt;"",B49*100+VALUE(LEFT(C49,LEN(C49)-1))&gt;=总览!$J$10),总览!$K$10,IF(AND(总览!$H$10&lt;&gt;"",B49*100+VALUE(LEFT(C49,LEN(C49)-1))&gt;=总览!$H$10),总览!$I$10,IF(AND(总览!$F$10&lt;&gt;"",B49*100+VALUE(LEFT(C49,LEN(C49)-1))&gt;=总览!$F$10),总览!$G$10,IF(AND(总览!$D$10&lt;&gt;"",B49*100+VALUE(LEFT(C49,LEN(C49)-1))&gt;=总览!$D$10),总览!$E$10,总览!$B$10))))),IF(AND(总览!$L$9&lt;&gt;"",B49*100+VALUE(LEFT(C49,LEN(C49)-1))&gt;=总览!$L$9),总览!$M$9,IF(AND(总览!$J$9&lt;&gt;"",B49*100+VALUE(LEFT(C49,LEN(C49)-1))&gt;=总览!$J$9),总览!$K$9,IF(AND(总览!$H$9&lt;&gt;"",B49*100+VALUE(LEFT(C49,LEN(C49)-1))&gt;=总览!$H$9),总览!$I$9,IF(AND(总览!$F$9&lt;&gt;"",B49*100+VALUE(LEFT(C49,LEN(C49)-1))&gt;=总览!$F$9),总览!$G$9,IF(AND(总览!$D$9&lt;&gt;"",B49*100+VALUE(LEFT(C49,LEN(C49)-1))&gt;=总览!$D$9),总览!$E$9,总览!$B$9))))))</f>
        <v/>
      </c>
      <c r="I49" s="32">
        <f>IF(AND(总览!$L$11&lt;&gt;"",B49*100+VALUE(LEFT(C49,LEN(C49)-1))&gt;=总览!$L$11),总览!$M$11,IF(AND(总览!$J$11&lt;&gt;"",B49*100+VALUE(LEFT(C49,LEN(C49)-1))&gt;=总览!$J$11),总览!$K$11,IF(AND(总览!$H$11&lt;&gt;"",B49*100+VALUE(LEFT(C49,LEN(C49)-1))&gt;=总览!$H$11),总览!$I$11,IF(AND(总览!$F$11&lt;&gt;"",B49*100+VALUE(LEFT(C49,LEN(C49)-1))&gt;=总览!$F$11),总览!$G$11,IF(AND(总览!$D$11&lt;&gt;"",B49*100+VALUE(LEFT(C49,LEN(C49)-1))&gt;=总览!$D$11),总览!$E$11,总览!$B$11)))))</f>
        <v/>
      </c>
      <c r="J49" s="32">
        <f>IF(OR(B49&gt;2027,AND(B49=2027,VALUE(LEFT(C49,LEN(C49)-1))&gt;=9)),IF(AND(总览!$L$12&lt;&gt;"",B49*100+VALUE(LEFT(C49,LEN(C49)-1))&gt;=总览!$L$12),总览!$M$12,IF(AND(总览!$J$12&lt;&gt;"",B49*100+VALUE(LEFT(C49,LEN(C49)-1))&gt;=总览!$J$12),总览!$K$12,IF(AND(总览!$H$12&lt;&gt;"",B49*100+VALUE(LEFT(C49,LEN(C49)-1))&gt;=总览!$H$12),总览!$I$12,IF(AND(总览!$F$12&lt;&gt;"",B49*100+VALUE(LEFT(C49,LEN(C49)-1))&gt;=总览!$F$12),总览!$G$12,IF(AND(总览!$D$12&lt;&gt;"",B49*100+VALUE(LEFT(C49,LEN(C49)-1))&gt;=总览!$D$12),总览!$E$12,总览!$B$12))))),0)</f>
        <v/>
      </c>
      <c r="K49" s="32">
        <f>IF(AND(B49=2026,C49="5月"),120000,IF(AND(B49=2027,C49="9月"),30000,IF(C49="10月",IF(AND(总览!$L$13&lt;&gt;"",B49*100+VALUE(LEFT(C49,LEN(C49)-1))&gt;=总览!$L$13),总览!$M$13,IF(AND(总览!$J$13&lt;&gt;"",B49*100+VALUE(LEFT(C49,LEN(C49)-1))&gt;=总览!$J$13),总览!$K$13,IF(AND(总览!$H$13&lt;&gt;"",B49*100+VALUE(LEFT(C49,LEN(C49)-1))&gt;=总览!$H$13),总览!$I$13,IF(AND(总览!$F$13&lt;&gt;"",B49*100+VALUE(LEFT(C49,LEN(C49)-1))&gt;=总览!$F$13),总览!$G$13,IF(AND(总览!$D$13&lt;&gt;"",B49*100+VALUE(LEFT(C49,LEN(C49)-1))&gt;=总览!$D$13),总览!$E$13,总览!$B$13))))),0)))</f>
        <v/>
      </c>
      <c r="L49" s="31" t="inlineStr"/>
      <c r="M49" s="32">
        <f>SUM(H49:K49)</f>
        <v/>
      </c>
      <c r="N49" s="32">
        <f>G49-M49</f>
        <v/>
      </c>
      <c r="O49" s="32">
        <f>O48+N49</f>
        <v/>
      </c>
    </row>
    <row r="50">
      <c r="A50" s="30" t="n">
        <v>49</v>
      </c>
      <c r="B50" s="30" t="n">
        <v>2030</v>
      </c>
      <c r="C50" s="30" t="inlineStr">
        <is>
          <t>2月</t>
        </is>
      </c>
      <c r="D50" s="11">
        <f>IF(AND(总览!$L$6&lt;&gt;"",B50*100+VALUE(LEFT(C50,LEN(C50)-1))&gt;=总览!$L$6),总览!$M$6,IF(AND(总览!$J$6&lt;&gt;"",B50*100+VALUE(LEFT(C50,LEN(C50)-1))&gt;=总览!$J$6),总览!$K$6,IF(AND(总览!$H$6&lt;&gt;"",B50*100+VALUE(LEFT(C50,LEN(C50)-1))&gt;=总览!$H$6),总览!$I$6,IF(AND(总览!$F$6&lt;&gt;"",B50*100+VALUE(LEFT(C50,LEN(C50)-1))&gt;=总览!$F$6),总览!$G$6,IF(AND(总览!$D$6&lt;&gt;"",B50*100+VALUE(LEFT(C50,LEN(C50)-1))&gt;=总览!$D$6),总览!$E$6,总览!$B$6)))))</f>
        <v/>
      </c>
      <c r="E50" s="11">
        <f>IF(C50="12月",IF(AND(总览!$L$7&lt;&gt;"",B50*100+VALUE(LEFT(C50,LEN(C50)-1))&gt;=总览!$L$7),总览!$M$7,IF(AND(总览!$J$7&lt;&gt;"",B50*100+VALUE(LEFT(C50,LEN(C50)-1))&gt;=总览!$J$7),总览!$K$7,IF(AND(总览!$H$7&lt;&gt;"",B50*100+VALUE(LEFT(C50,LEN(C50)-1))&gt;=总览!$H$7),总览!$I$7,IF(AND(总览!$F$7&lt;&gt;"",B50*100+VALUE(LEFT(C50,LEN(C50)-1))&gt;=总览!$F$7),总览!$G$7,IF(AND(总览!$D$7&lt;&gt;"",B50*100+VALUE(LEFT(C50,LEN(C50)-1))&gt;=总览!$D$7),总览!$E$7,总览!$B$7))))),0)</f>
        <v/>
      </c>
      <c r="F50" s="11">
        <f>ROUND(O49*总览!$B$14/12,0)</f>
        <v/>
      </c>
      <c r="G50" s="11">
        <f>D50+E50+F50</f>
        <v/>
      </c>
      <c r="H50" s="11">
        <f>IF(OR(B50&gt;2027,AND(B50=2027,VALUE(LEFT(C50,LEN(C50)-1))&gt;=9)),IF(AND(总览!$L$10&lt;&gt;"",B50*100+VALUE(LEFT(C50,LEN(C50)-1))&gt;=总览!$L$10),总览!$M$10,IF(AND(总览!$J$10&lt;&gt;"",B50*100+VALUE(LEFT(C50,LEN(C50)-1))&gt;=总览!$J$10),总览!$K$10,IF(AND(总览!$H$10&lt;&gt;"",B50*100+VALUE(LEFT(C50,LEN(C50)-1))&gt;=总览!$H$10),总览!$I$10,IF(AND(总览!$F$10&lt;&gt;"",B50*100+VALUE(LEFT(C50,LEN(C50)-1))&gt;=总览!$F$10),总览!$G$10,IF(AND(总览!$D$10&lt;&gt;"",B50*100+VALUE(LEFT(C50,LEN(C50)-1))&gt;=总览!$D$10),总览!$E$10,总览!$B$10))))),IF(AND(总览!$L$9&lt;&gt;"",B50*100+VALUE(LEFT(C50,LEN(C50)-1))&gt;=总览!$L$9),总览!$M$9,IF(AND(总览!$J$9&lt;&gt;"",B50*100+VALUE(LEFT(C50,LEN(C50)-1))&gt;=总览!$J$9),总览!$K$9,IF(AND(总览!$H$9&lt;&gt;"",B50*100+VALUE(LEFT(C50,LEN(C50)-1))&gt;=总览!$H$9),总览!$I$9,IF(AND(总览!$F$9&lt;&gt;"",B50*100+VALUE(LEFT(C50,LEN(C50)-1))&gt;=总览!$F$9),总览!$G$9,IF(AND(总览!$D$9&lt;&gt;"",B50*100+VALUE(LEFT(C50,LEN(C50)-1))&gt;=总览!$D$9),总览!$E$9,总览!$B$9))))))</f>
        <v/>
      </c>
      <c r="I50" s="11">
        <f>IF(AND(总览!$L$11&lt;&gt;"",B50*100+VALUE(LEFT(C50,LEN(C50)-1))&gt;=总览!$L$11),总览!$M$11,IF(AND(总览!$J$11&lt;&gt;"",B50*100+VALUE(LEFT(C50,LEN(C50)-1))&gt;=总览!$J$11),总览!$K$11,IF(AND(总览!$H$11&lt;&gt;"",B50*100+VALUE(LEFT(C50,LEN(C50)-1))&gt;=总览!$H$11),总览!$I$11,IF(AND(总览!$F$11&lt;&gt;"",B50*100+VALUE(LEFT(C50,LEN(C50)-1))&gt;=总览!$F$11),总览!$G$11,IF(AND(总览!$D$11&lt;&gt;"",B50*100+VALUE(LEFT(C50,LEN(C50)-1))&gt;=总览!$D$11),总览!$E$11,总览!$B$11)))))</f>
        <v/>
      </c>
      <c r="J50" s="11">
        <f>IF(OR(B50&gt;2027,AND(B50=2027,VALUE(LEFT(C50,LEN(C50)-1))&gt;=9)),IF(AND(总览!$L$12&lt;&gt;"",B50*100+VALUE(LEFT(C50,LEN(C50)-1))&gt;=总览!$L$12),总览!$M$12,IF(AND(总览!$J$12&lt;&gt;"",B50*100+VALUE(LEFT(C50,LEN(C50)-1))&gt;=总览!$J$12),总览!$K$12,IF(AND(总览!$H$12&lt;&gt;"",B50*100+VALUE(LEFT(C50,LEN(C50)-1))&gt;=总览!$H$12),总览!$I$12,IF(AND(总览!$F$12&lt;&gt;"",B50*100+VALUE(LEFT(C50,LEN(C50)-1))&gt;=总览!$F$12),总览!$G$12,IF(AND(总览!$D$12&lt;&gt;"",B50*100+VALUE(LEFT(C50,LEN(C50)-1))&gt;=总览!$D$12),总览!$E$12,总览!$B$12))))),0)</f>
        <v/>
      </c>
      <c r="K50" s="11">
        <f>IF(AND(B50=2026,C50="5月"),120000,IF(AND(B50=2027,C50="9月"),30000,IF(C50="10月",IF(AND(总览!$L$13&lt;&gt;"",B50*100+VALUE(LEFT(C50,LEN(C50)-1))&gt;=总览!$L$13),总览!$M$13,IF(AND(总览!$J$13&lt;&gt;"",B50*100+VALUE(LEFT(C50,LEN(C50)-1))&gt;=总览!$J$13),总览!$K$13,IF(AND(总览!$H$13&lt;&gt;"",B50*100+VALUE(LEFT(C50,LEN(C50)-1))&gt;=总览!$H$13),总览!$I$13,IF(AND(总览!$F$13&lt;&gt;"",B50*100+VALUE(LEFT(C50,LEN(C50)-1))&gt;=总览!$F$13),总览!$G$13,IF(AND(总览!$D$13&lt;&gt;"",B50*100+VALUE(LEFT(C50,LEN(C50)-1))&gt;=总览!$D$13),总览!$E$13,总览!$B$13))))),0)))</f>
        <v/>
      </c>
      <c r="L50" s="30" t="inlineStr"/>
      <c r="M50" s="11">
        <f>SUM(H50:K50)</f>
        <v/>
      </c>
      <c r="N50" s="11">
        <f>G50-M50</f>
        <v/>
      </c>
      <c r="O50" s="11">
        <f>O49+N50</f>
        <v/>
      </c>
    </row>
    <row r="51">
      <c r="A51" s="31" t="n">
        <v>50</v>
      </c>
      <c r="B51" s="31" t="n">
        <v>2030</v>
      </c>
      <c r="C51" s="31" t="inlineStr">
        <is>
          <t>3月</t>
        </is>
      </c>
      <c r="D51" s="32">
        <f>IF(AND(总览!$L$6&lt;&gt;"",B51*100+VALUE(LEFT(C51,LEN(C51)-1))&gt;=总览!$L$6),总览!$M$6,IF(AND(总览!$J$6&lt;&gt;"",B51*100+VALUE(LEFT(C51,LEN(C51)-1))&gt;=总览!$J$6),总览!$K$6,IF(AND(总览!$H$6&lt;&gt;"",B51*100+VALUE(LEFT(C51,LEN(C51)-1))&gt;=总览!$H$6),总览!$I$6,IF(AND(总览!$F$6&lt;&gt;"",B51*100+VALUE(LEFT(C51,LEN(C51)-1))&gt;=总览!$F$6),总览!$G$6,IF(AND(总览!$D$6&lt;&gt;"",B51*100+VALUE(LEFT(C51,LEN(C51)-1))&gt;=总览!$D$6),总览!$E$6,总览!$B$6)))))</f>
        <v/>
      </c>
      <c r="E51" s="32">
        <f>IF(C51="12月",IF(AND(总览!$L$7&lt;&gt;"",B51*100+VALUE(LEFT(C51,LEN(C51)-1))&gt;=总览!$L$7),总览!$M$7,IF(AND(总览!$J$7&lt;&gt;"",B51*100+VALUE(LEFT(C51,LEN(C51)-1))&gt;=总览!$J$7),总览!$K$7,IF(AND(总览!$H$7&lt;&gt;"",B51*100+VALUE(LEFT(C51,LEN(C51)-1))&gt;=总览!$H$7),总览!$I$7,IF(AND(总览!$F$7&lt;&gt;"",B51*100+VALUE(LEFT(C51,LEN(C51)-1))&gt;=总览!$F$7),总览!$G$7,IF(AND(总览!$D$7&lt;&gt;"",B51*100+VALUE(LEFT(C51,LEN(C51)-1))&gt;=总览!$D$7),总览!$E$7,总览!$B$7))))),0)</f>
        <v/>
      </c>
      <c r="F51" s="32">
        <f>ROUND(O50*总览!$B$14/12,0)</f>
        <v/>
      </c>
      <c r="G51" s="32">
        <f>D51+E51+F51</f>
        <v/>
      </c>
      <c r="H51" s="32">
        <f>IF(OR(B51&gt;2027,AND(B51=2027,VALUE(LEFT(C51,LEN(C51)-1))&gt;=9)),IF(AND(总览!$L$10&lt;&gt;"",B51*100+VALUE(LEFT(C51,LEN(C51)-1))&gt;=总览!$L$10),总览!$M$10,IF(AND(总览!$J$10&lt;&gt;"",B51*100+VALUE(LEFT(C51,LEN(C51)-1))&gt;=总览!$J$10),总览!$K$10,IF(AND(总览!$H$10&lt;&gt;"",B51*100+VALUE(LEFT(C51,LEN(C51)-1))&gt;=总览!$H$10),总览!$I$10,IF(AND(总览!$F$10&lt;&gt;"",B51*100+VALUE(LEFT(C51,LEN(C51)-1))&gt;=总览!$F$10),总览!$G$10,IF(AND(总览!$D$10&lt;&gt;"",B51*100+VALUE(LEFT(C51,LEN(C51)-1))&gt;=总览!$D$10),总览!$E$10,总览!$B$10))))),IF(AND(总览!$L$9&lt;&gt;"",B51*100+VALUE(LEFT(C51,LEN(C51)-1))&gt;=总览!$L$9),总览!$M$9,IF(AND(总览!$J$9&lt;&gt;"",B51*100+VALUE(LEFT(C51,LEN(C51)-1))&gt;=总览!$J$9),总览!$K$9,IF(AND(总览!$H$9&lt;&gt;"",B51*100+VALUE(LEFT(C51,LEN(C51)-1))&gt;=总览!$H$9),总览!$I$9,IF(AND(总览!$F$9&lt;&gt;"",B51*100+VALUE(LEFT(C51,LEN(C51)-1))&gt;=总览!$F$9),总览!$G$9,IF(AND(总览!$D$9&lt;&gt;"",B51*100+VALUE(LEFT(C51,LEN(C51)-1))&gt;=总览!$D$9),总览!$E$9,总览!$B$9))))))</f>
        <v/>
      </c>
      <c r="I51" s="32">
        <f>IF(AND(总览!$L$11&lt;&gt;"",B51*100+VALUE(LEFT(C51,LEN(C51)-1))&gt;=总览!$L$11),总览!$M$11,IF(AND(总览!$J$11&lt;&gt;"",B51*100+VALUE(LEFT(C51,LEN(C51)-1))&gt;=总览!$J$11),总览!$K$11,IF(AND(总览!$H$11&lt;&gt;"",B51*100+VALUE(LEFT(C51,LEN(C51)-1))&gt;=总览!$H$11),总览!$I$11,IF(AND(总览!$F$11&lt;&gt;"",B51*100+VALUE(LEFT(C51,LEN(C51)-1))&gt;=总览!$F$11),总览!$G$11,IF(AND(总览!$D$11&lt;&gt;"",B51*100+VALUE(LEFT(C51,LEN(C51)-1))&gt;=总览!$D$11),总览!$E$11,总览!$B$11)))))</f>
        <v/>
      </c>
      <c r="J51" s="32">
        <f>IF(OR(B51&gt;2027,AND(B51=2027,VALUE(LEFT(C51,LEN(C51)-1))&gt;=9)),IF(AND(总览!$L$12&lt;&gt;"",B51*100+VALUE(LEFT(C51,LEN(C51)-1))&gt;=总览!$L$12),总览!$M$12,IF(AND(总览!$J$12&lt;&gt;"",B51*100+VALUE(LEFT(C51,LEN(C51)-1))&gt;=总览!$J$12),总览!$K$12,IF(AND(总览!$H$12&lt;&gt;"",B51*100+VALUE(LEFT(C51,LEN(C51)-1))&gt;=总览!$H$12),总览!$I$12,IF(AND(总览!$F$12&lt;&gt;"",B51*100+VALUE(LEFT(C51,LEN(C51)-1))&gt;=总览!$F$12),总览!$G$12,IF(AND(总览!$D$12&lt;&gt;"",B51*100+VALUE(LEFT(C51,LEN(C51)-1))&gt;=总览!$D$12),总览!$E$12,总览!$B$12))))),0)</f>
        <v/>
      </c>
      <c r="K51" s="32">
        <f>IF(AND(B51=2026,C51="5月"),120000,IF(AND(B51=2027,C51="9月"),30000,IF(C51="10月",IF(AND(总览!$L$13&lt;&gt;"",B51*100+VALUE(LEFT(C51,LEN(C51)-1))&gt;=总览!$L$13),总览!$M$13,IF(AND(总览!$J$13&lt;&gt;"",B51*100+VALUE(LEFT(C51,LEN(C51)-1))&gt;=总览!$J$13),总览!$K$13,IF(AND(总览!$H$13&lt;&gt;"",B51*100+VALUE(LEFT(C51,LEN(C51)-1))&gt;=总览!$H$13),总览!$I$13,IF(AND(总览!$F$13&lt;&gt;"",B51*100+VALUE(LEFT(C51,LEN(C51)-1))&gt;=总览!$F$13),总览!$G$13,IF(AND(总览!$D$13&lt;&gt;"",B51*100+VALUE(LEFT(C51,LEN(C51)-1))&gt;=总览!$D$13),总览!$E$13,总览!$B$13))))),0)))</f>
        <v/>
      </c>
      <c r="L51" s="31" t="inlineStr"/>
      <c r="M51" s="32">
        <f>SUM(H51:K51)</f>
        <v/>
      </c>
      <c r="N51" s="32">
        <f>G51-M51</f>
        <v/>
      </c>
      <c r="O51" s="32">
        <f>O50+N51</f>
        <v/>
      </c>
    </row>
    <row r="52">
      <c r="A52" s="30" t="n">
        <v>51</v>
      </c>
      <c r="B52" s="30" t="n">
        <v>2030</v>
      </c>
      <c r="C52" s="30" t="inlineStr">
        <is>
          <t>4月</t>
        </is>
      </c>
      <c r="D52" s="11">
        <f>IF(AND(总览!$L$6&lt;&gt;"",B52*100+VALUE(LEFT(C52,LEN(C52)-1))&gt;=总览!$L$6),总览!$M$6,IF(AND(总览!$J$6&lt;&gt;"",B52*100+VALUE(LEFT(C52,LEN(C52)-1))&gt;=总览!$J$6),总览!$K$6,IF(AND(总览!$H$6&lt;&gt;"",B52*100+VALUE(LEFT(C52,LEN(C52)-1))&gt;=总览!$H$6),总览!$I$6,IF(AND(总览!$F$6&lt;&gt;"",B52*100+VALUE(LEFT(C52,LEN(C52)-1))&gt;=总览!$F$6),总览!$G$6,IF(AND(总览!$D$6&lt;&gt;"",B52*100+VALUE(LEFT(C52,LEN(C52)-1))&gt;=总览!$D$6),总览!$E$6,总览!$B$6)))))</f>
        <v/>
      </c>
      <c r="E52" s="11">
        <f>IF(C52="12月",IF(AND(总览!$L$7&lt;&gt;"",B52*100+VALUE(LEFT(C52,LEN(C52)-1))&gt;=总览!$L$7),总览!$M$7,IF(AND(总览!$J$7&lt;&gt;"",B52*100+VALUE(LEFT(C52,LEN(C52)-1))&gt;=总览!$J$7),总览!$K$7,IF(AND(总览!$H$7&lt;&gt;"",B52*100+VALUE(LEFT(C52,LEN(C52)-1))&gt;=总览!$H$7),总览!$I$7,IF(AND(总览!$F$7&lt;&gt;"",B52*100+VALUE(LEFT(C52,LEN(C52)-1))&gt;=总览!$F$7),总览!$G$7,IF(AND(总览!$D$7&lt;&gt;"",B52*100+VALUE(LEFT(C52,LEN(C52)-1))&gt;=总览!$D$7),总览!$E$7,总览!$B$7))))),0)</f>
        <v/>
      </c>
      <c r="F52" s="11">
        <f>ROUND(O51*总览!$B$14/12,0)</f>
        <v/>
      </c>
      <c r="G52" s="11">
        <f>D52+E52+F52</f>
        <v/>
      </c>
      <c r="H52" s="11">
        <f>IF(OR(B52&gt;2027,AND(B52=2027,VALUE(LEFT(C52,LEN(C52)-1))&gt;=9)),IF(AND(总览!$L$10&lt;&gt;"",B52*100+VALUE(LEFT(C52,LEN(C52)-1))&gt;=总览!$L$10),总览!$M$10,IF(AND(总览!$J$10&lt;&gt;"",B52*100+VALUE(LEFT(C52,LEN(C52)-1))&gt;=总览!$J$10),总览!$K$10,IF(AND(总览!$H$10&lt;&gt;"",B52*100+VALUE(LEFT(C52,LEN(C52)-1))&gt;=总览!$H$10),总览!$I$10,IF(AND(总览!$F$10&lt;&gt;"",B52*100+VALUE(LEFT(C52,LEN(C52)-1))&gt;=总览!$F$10),总览!$G$10,IF(AND(总览!$D$10&lt;&gt;"",B52*100+VALUE(LEFT(C52,LEN(C52)-1))&gt;=总览!$D$10),总览!$E$10,总览!$B$10))))),IF(AND(总览!$L$9&lt;&gt;"",B52*100+VALUE(LEFT(C52,LEN(C52)-1))&gt;=总览!$L$9),总览!$M$9,IF(AND(总览!$J$9&lt;&gt;"",B52*100+VALUE(LEFT(C52,LEN(C52)-1))&gt;=总览!$J$9),总览!$K$9,IF(AND(总览!$H$9&lt;&gt;"",B52*100+VALUE(LEFT(C52,LEN(C52)-1))&gt;=总览!$H$9),总览!$I$9,IF(AND(总览!$F$9&lt;&gt;"",B52*100+VALUE(LEFT(C52,LEN(C52)-1))&gt;=总览!$F$9),总览!$G$9,IF(AND(总览!$D$9&lt;&gt;"",B52*100+VALUE(LEFT(C52,LEN(C52)-1))&gt;=总览!$D$9),总览!$E$9,总览!$B$9))))))</f>
        <v/>
      </c>
      <c r="I52" s="11">
        <f>IF(AND(总览!$L$11&lt;&gt;"",B52*100+VALUE(LEFT(C52,LEN(C52)-1))&gt;=总览!$L$11),总览!$M$11,IF(AND(总览!$J$11&lt;&gt;"",B52*100+VALUE(LEFT(C52,LEN(C52)-1))&gt;=总览!$J$11),总览!$K$11,IF(AND(总览!$H$11&lt;&gt;"",B52*100+VALUE(LEFT(C52,LEN(C52)-1))&gt;=总览!$H$11),总览!$I$11,IF(AND(总览!$F$11&lt;&gt;"",B52*100+VALUE(LEFT(C52,LEN(C52)-1))&gt;=总览!$F$11),总览!$G$11,IF(AND(总览!$D$11&lt;&gt;"",B52*100+VALUE(LEFT(C52,LEN(C52)-1))&gt;=总览!$D$11),总览!$E$11,总览!$B$11)))))</f>
        <v/>
      </c>
      <c r="J52" s="11">
        <f>IF(OR(B52&gt;2027,AND(B52=2027,VALUE(LEFT(C52,LEN(C52)-1))&gt;=9)),IF(AND(总览!$L$12&lt;&gt;"",B52*100+VALUE(LEFT(C52,LEN(C52)-1))&gt;=总览!$L$12),总览!$M$12,IF(AND(总览!$J$12&lt;&gt;"",B52*100+VALUE(LEFT(C52,LEN(C52)-1))&gt;=总览!$J$12),总览!$K$12,IF(AND(总览!$H$12&lt;&gt;"",B52*100+VALUE(LEFT(C52,LEN(C52)-1))&gt;=总览!$H$12),总览!$I$12,IF(AND(总览!$F$12&lt;&gt;"",B52*100+VALUE(LEFT(C52,LEN(C52)-1))&gt;=总览!$F$12),总览!$G$12,IF(AND(总览!$D$12&lt;&gt;"",B52*100+VALUE(LEFT(C52,LEN(C52)-1))&gt;=总览!$D$12),总览!$E$12,总览!$B$12))))),0)</f>
        <v/>
      </c>
      <c r="K52" s="11">
        <f>IF(AND(B52=2026,C52="5月"),120000,IF(AND(B52=2027,C52="9月"),30000,IF(C52="10月",IF(AND(总览!$L$13&lt;&gt;"",B52*100+VALUE(LEFT(C52,LEN(C52)-1))&gt;=总览!$L$13),总览!$M$13,IF(AND(总览!$J$13&lt;&gt;"",B52*100+VALUE(LEFT(C52,LEN(C52)-1))&gt;=总览!$J$13),总览!$K$13,IF(AND(总览!$H$13&lt;&gt;"",B52*100+VALUE(LEFT(C52,LEN(C52)-1))&gt;=总览!$H$13),总览!$I$13,IF(AND(总览!$F$13&lt;&gt;"",B52*100+VALUE(LEFT(C52,LEN(C52)-1))&gt;=总览!$F$13),总览!$G$13,IF(AND(总览!$D$13&lt;&gt;"",B52*100+VALUE(LEFT(C52,LEN(C52)-1))&gt;=总览!$D$13),总览!$E$13,总览!$B$13))))),0)))</f>
        <v/>
      </c>
      <c r="L52" s="30" t="inlineStr"/>
      <c r="M52" s="11">
        <f>SUM(H52:K52)</f>
        <v/>
      </c>
      <c r="N52" s="11">
        <f>G52-M52</f>
        <v/>
      </c>
      <c r="O52" s="11">
        <f>O51+N52</f>
        <v/>
      </c>
    </row>
    <row r="53">
      <c r="A53" s="31" t="n">
        <v>52</v>
      </c>
      <c r="B53" s="31" t="n">
        <v>2030</v>
      </c>
      <c r="C53" s="31" t="inlineStr">
        <is>
          <t>5月</t>
        </is>
      </c>
      <c r="D53" s="32">
        <f>IF(AND(总览!$L$6&lt;&gt;"",B53*100+VALUE(LEFT(C53,LEN(C53)-1))&gt;=总览!$L$6),总览!$M$6,IF(AND(总览!$J$6&lt;&gt;"",B53*100+VALUE(LEFT(C53,LEN(C53)-1))&gt;=总览!$J$6),总览!$K$6,IF(AND(总览!$H$6&lt;&gt;"",B53*100+VALUE(LEFT(C53,LEN(C53)-1))&gt;=总览!$H$6),总览!$I$6,IF(AND(总览!$F$6&lt;&gt;"",B53*100+VALUE(LEFT(C53,LEN(C53)-1))&gt;=总览!$F$6),总览!$G$6,IF(AND(总览!$D$6&lt;&gt;"",B53*100+VALUE(LEFT(C53,LEN(C53)-1))&gt;=总览!$D$6),总览!$E$6,总览!$B$6)))))</f>
        <v/>
      </c>
      <c r="E53" s="32">
        <f>IF(C53="12月",IF(AND(总览!$L$7&lt;&gt;"",B53*100+VALUE(LEFT(C53,LEN(C53)-1))&gt;=总览!$L$7),总览!$M$7,IF(AND(总览!$J$7&lt;&gt;"",B53*100+VALUE(LEFT(C53,LEN(C53)-1))&gt;=总览!$J$7),总览!$K$7,IF(AND(总览!$H$7&lt;&gt;"",B53*100+VALUE(LEFT(C53,LEN(C53)-1))&gt;=总览!$H$7),总览!$I$7,IF(AND(总览!$F$7&lt;&gt;"",B53*100+VALUE(LEFT(C53,LEN(C53)-1))&gt;=总览!$F$7),总览!$G$7,IF(AND(总览!$D$7&lt;&gt;"",B53*100+VALUE(LEFT(C53,LEN(C53)-1))&gt;=总览!$D$7),总览!$E$7,总览!$B$7))))),0)</f>
        <v/>
      </c>
      <c r="F53" s="32">
        <f>ROUND(O52*总览!$B$14/12,0)</f>
        <v/>
      </c>
      <c r="G53" s="32">
        <f>D53+E53+F53</f>
        <v/>
      </c>
      <c r="H53" s="32">
        <f>IF(OR(B53&gt;2027,AND(B53=2027,VALUE(LEFT(C53,LEN(C53)-1))&gt;=9)),IF(AND(总览!$L$10&lt;&gt;"",B53*100+VALUE(LEFT(C53,LEN(C53)-1))&gt;=总览!$L$10),总览!$M$10,IF(AND(总览!$J$10&lt;&gt;"",B53*100+VALUE(LEFT(C53,LEN(C53)-1))&gt;=总览!$J$10),总览!$K$10,IF(AND(总览!$H$10&lt;&gt;"",B53*100+VALUE(LEFT(C53,LEN(C53)-1))&gt;=总览!$H$10),总览!$I$10,IF(AND(总览!$F$10&lt;&gt;"",B53*100+VALUE(LEFT(C53,LEN(C53)-1))&gt;=总览!$F$10),总览!$G$10,IF(AND(总览!$D$10&lt;&gt;"",B53*100+VALUE(LEFT(C53,LEN(C53)-1))&gt;=总览!$D$10),总览!$E$10,总览!$B$10))))),IF(AND(总览!$L$9&lt;&gt;"",B53*100+VALUE(LEFT(C53,LEN(C53)-1))&gt;=总览!$L$9),总览!$M$9,IF(AND(总览!$J$9&lt;&gt;"",B53*100+VALUE(LEFT(C53,LEN(C53)-1))&gt;=总览!$J$9),总览!$K$9,IF(AND(总览!$H$9&lt;&gt;"",B53*100+VALUE(LEFT(C53,LEN(C53)-1))&gt;=总览!$H$9),总览!$I$9,IF(AND(总览!$F$9&lt;&gt;"",B53*100+VALUE(LEFT(C53,LEN(C53)-1))&gt;=总览!$F$9),总览!$G$9,IF(AND(总览!$D$9&lt;&gt;"",B53*100+VALUE(LEFT(C53,LEN(C53)-1))&gt;=总览!$D$9),总览!$E$9,总览!$B$9))))))</f>
        <v/>
      </c>
      <c r="I53" s="32">
        <f>IF(AND(总览!$L$11&lt;&gt;"",B53*100+VALUE(LEFT(C53,LEN(C53)-1))&gt;=总览!$L$11),总览!$M$11,IF(AND(总览!$J$11&lt;&gt;"",B53*100+VALUE(LEFT(C53,LEN(C53)-1))&gt;=总览!$J$11),总览!$K$11,IF(AND(总览!$H$11&lt;&gt;"",B53*100+VALUE(LEFT(C53,LEN(C53)-1))&gt;=总览!$H$11),总览!$I$11,IF(AND(总览!$F$11&lt;&gt;"",B53*100+VALUE(LEFT(C53,LEN(C53)-1))&gt;=总览!$F$11),总览!$G$11,IF(AND(总览!$D$11&lt;&gt;"",B53*100+VALUE(LEFT(C53,LEN(C53)-1))&gt;=总览!$D$11),总览!$E$11,总览!$B$11)))))</f>
        <v/>
      </c>
      <c r="J53" s="32">
        <f>IF(OR(B53&gt;2027,AND(B53=2027,VALUE(LEFT(C53,LEN(C53)-1))&gt;=9)),IF(AND(总览!$L$12&lt;&gt;"",B53*100+VALUE(LEFT(C53,LEN(C53)-1))&gt;=总览!$L$12),总览!$M$12,IF(AND(总览!$J$12&lt;&gt;"",B53*100+VALUE(LEFT(C53,LEN(C53)-1))&gt;=总览!$J$12),总览!$K$12,IF(AND(总览!$H$12&lt;&gt;"",B53*100+VALUE(LEFT(C53,LEN(C53)-1))&gt;=总览!$H$12),总览!$I$12,IF(AND(总览!$F$12&lt;&gt;"",B53*100+VALUE(LEFT(C53,LEN(C53)-1))&gt;=总览!$F$12),总览!$G$12,IF(AND(总览!$D$12&lt;&gt;"",B53*100+VALUE(LEFT(C53,LEN(C53)-1))&gt;=总览!$D$12),总览!$E$12,总览!$B$12))))),0)</f>
        <v/>
      </c>
      <c r="K53" s="32">
        <f>IF(AND(B53=2026,C53="5月"),120000,IF(AND(B53=2027,C53="9月"),30000,IF(C53="10月",IF(AND(总览!$L$13&lt;&gt;"",B53*100+VALUE(LEFT(C53,LEN(C53)-1))&gt;=总览!$L$13),总览!$M$13,IF(AND(总览!$J$13&lt;&gt;"",B53*100+VALUE(LEFT(C53,LEN(C53)-1))&gt;=总览!$J$13),总览!$K$13,IF(AND(总览!$H$13&lt;&gt;"",B53*100+VALUE(LEFT(C53,LEN(C53)-1))&gt;=总览!$H$13),总览!$I$13,IF(AND(总览!$F$13&lt;&gt;"",B53*100+VALUE(LEFT(C53,LEN(C53)-1))&gt;=总览!$F$13),总览!$G$13,IF(AND(总览!$D$13&lt;&gt;"",B53*100+VALUE(LEFT(C53,LEN(C53)-1))&gt;=总览!$D$13),总览!$E$13,总览!$B$13))))),0)))</f>
        <v/>
      </c>
      <c r="L53" s="31" t="inlineStr"/>
      <c r="M53" s="32">
        <f>SUM(H53:K53)</f>
        <v/>
      </c>
      <c r="N53" s="32">
        <f>G53-M53</f>
        <v/>
      </c>
      <c r="O53" s="32">
        <f>O52+N53</f>
        <v/>
      </c>
    </row>
    <row r="54">
      <c r="A54" s="30" t="n">
        <v>53</v>
      </c>
      <c r="B54" s="30" t="n">
        <v>2030</v>
      </c>
      <c r="C54" s="30" t="inlineStr">
        <is>
          <t>6月</t>
        </is>
      </c>
      <c r="D54" s="11">
        <f>IF(AND(总览!$L$6&lt;&gt;"",B54*100+VALUE(LEFT(C54,LEN(C54)-1))&gt;=总览!$L$6),总览!$M$6,IF(AND(总览!$J$6&lt;&gt;"",B54*100+VALUE(LEFT(C54,LEN(C54)-1))&gt;=总览!$J$6),总览!$K$6,IF(AND(总览!$H$6&lt;&gt;"",B54*100+VALUE(LEFT(C54,LEN(C54)-1))&gt;=总览!$H$6),总览!$I$6,IF(AND(总览!$F$6&lt;&gt;"",B54*100+VALUE(LEFT(C54,LEN(C54)-1))&gt;=总览!$F$6),总览!$G$6,IF(AND(总览!$D$6&lt;&gt;"",B54*100+VALUE(LEFT(C54,LEN(C54)-1))&gt;=总览!$D$6),总览!$E$6,总览!$B$6)))))</f>
        <v/>
      </c>
      <c r="E54" s="11">
        <f>IF(C54="12月",IF(AND(总览!$L$7&lt;&gt;"",B54*100+VALUE(LEFT(C54,LEN(C54)-1))&gt;=总览!$L$7),总览!$M$7,IF(AND(总览!$J$7&lt;&gt;"",B54*100+VALUE(LEFT(C54,LEN(C54)-1))&gt;=总览!$J$7),总览!$K$7,IF(AND(总览!$H$7&lt;&gt;"",B54*100+VALUE(LEFT(C54,LEN(C54)-1))&gt;=总览!$H$7),总览!$I$7,IF(AND(总览!$F$7&lt;&gt;"",B54*100+VALUE(LEFT(C54,LEN(C54)-1))&gt;=总览!$F$7),总览!$G$7,IF(AND(总览!$D$7&lt;&gt;"",B54*100+VALUE(LEFT(C54,LEN(C54)-1))&gt;=总览!$D$7),总览!$E$7,总览!$B$7))))),0)</f>
        <v/>
      </c>
      <c r="F54" s="11">
        <f>ROUND(O53*总览!$B$14/12,0)</f>
        <v/>
      </c>
      <c r="G54" s="11">
        <f>D54+E54+F54</f>
        <v/>
      </c>
      <c r="H54" s="11">
        <f>IF(OR(B54&gt;2027,AND(B54=2027,VALUE(LEFT(C54,LEN(C54)-1))&gt;=9)),IF(AND(总览!$L$10&lt;&gt;"",B54*100+VALUE(LEFT(C54,LEN(C54)-1))&gt;=总览!$L$10),总览!$M$10,IF(AND(总览!$J$10&lt;&gt;"",B54*100+VALUE(LEFT(C54,LEN(C54)-1))&gt;=总览!$J$10),总览!$K$10,IF(AND(总览!$H$10&lt;&gt;"",B54*100+VALUE(LEFT(C54,LEN(C54)-1))&gt;=总览!$H$10),总览!$I$10,IF(AND(总览!$F$10&lt;&gt;"",B54*100+VALUE(LEFT(C54,LEN(C54)-1))&gt;=总览!$F$10),总览!$G$10,IF(AND(总览!$D$10&lt;&gt;"",B54*100+VALUE(LEFT(C54,LEN(C54)-1))&gt;=总览!$D$10),总览!$E$10,总览!$B$10))))),IF(AND(总览!$L$9&lt;&gt;"",B54*100+VALUE(LEFT(C54,LEN(C54)-1))&gt;=总览!$L$9),总览!$M$9,IF(AND(总览!$J$9&lt;&gt;"",B54*100+VALUE(LEFT(C54,LEN(C54)-1))&gt;=总览!$J$9),总览!$K$9,IF(AND(总览!$H$9&lt;&gt;"",B54*100+VALUE(LEFT(C54,LEN(C54)-1))&gt;=总览!$H$9),总览!$I$9,IF(AND(总览!$F$9&lt;&gt;"",B54*100+VALUE(LEFT(C54,LEN(C54)-1))&gt;=总览!$F$9),总览!$G$9,IF(AND(总览!$D$9&lt;&gt;"",B54*100+VALUE(LEFT(C54,LEN(C54)-1))&gt;=总览!$D$9),总览!$E$9,总览!$B$9))))))</f>
        <v/>
      </c>
      <c r="I54" s="11">
        <f>IF(AND(总览!$L$11&lt;&gt;"",B54*100+VALUE(LEFT(C54,LEN(C54)-1))&gt;=总览!$L$11),总览!$M$11,IF(AND(总览!$J$11&lt;&gt;"",B54*100+VALUE(LEFT(C54,LEN(C54)-1))&gt;=总览!$J$11),总览!$K$11,IF(AND(总览!$H$11&lt;&gt;"",B54*100+VALUE(LEFT(C54,LEN(C54)-1))&gt;=总览!$H$11),总览!$I$11,IF(AND(总览!$F$11&lt;&gt;"",B54*100+VALUE(LEFT(C54,LEN(C54)-1))&gt;=总览!$F$11),总览!$G$11,IF(AND(总览!$D$11&lt;&gt;"",B54*100+VALUE(LEFT(C54,LEN(C54)-1))&gt;=总览!$D$11),总览!$E$11,总览!$B$11)))))</f>
        <v/>
      </c>
      <c r="J54" s="11">
        <f>IF(OR(B54&gt;2027,AND(B54=2027,VALUE(LEFT(C54,LEN(C54)-1))&gt;=9)),IF(AND(总览!$L$12&lt;&gt;"",B54*100+VALUE(LEFT(C54,LEN(C54)-1))&gt;=总览!$L$12),总览!$M$12,IF(AND(总览!$J$12&lt;&gt;"",B54*100+VALUE(LEFT(C54,LEN(C54)-1))&gt;=总览!$J$12),总览!$K$12,IF(AND(总览!$H$12&lt;&gt;"",B54*100+VALUE(LEFT(C54,LEN(C54)-1))&gt;=总览!$H$12),总览!$I$12,IF(AND(总览!$F$12&lt;&gt;"",B54*100+VALUE(LEFT(C54,LEN(C54)-1))&gt;=总览!$F$12),总览!$G$12,IF(AND(总览!$D$12&lt;&gt;"",B54*100+VALUE(LEFT(C54,LEN(C54)-1))&gt;=总览!$D$12),总览!$E$12,总览!$B$12))))),0)</f>
        <v/>
      </c>
      <c r="K54" s="11">
        <f>IF(AND(B54=2026,C54="5月"),120000,IF(AND(B54=2027,C54="9月"),30000,IF(C54="10月",IF(AND(总览!$L$13&lt;&gt;"",B54*100+VALUE(LEFT(C54,LEN(C54)-1))&gt;=总览!$L$13),总览!$M$13,IF(AND(总览!$J$13&lt;&gt;"",B54*100+VALUE(LEFT(C54,LEN(C54)-1))&gt;=总览!$J$13),总览!$K$13,IF(AND(总览!$H$13&lt;&gt;"",B54*100+VALUE(LEFT(C54,LEN(C54)-1))&gt;=总览!$H$13),总览!$I$13,IF(AND(总览!$F$13&lt;&gt;"",B54*100+VALUE(LEFT(C54,LEN(C54)-1))&gt;=总览!$F$13),总览!$G$13,IF(AND(总览!$D$13&lt;&gt;"",B54*100+VALUE(LEFT(C54,LEN(C54)-1))&gt;=总览!$D$13),总览!$E$13,总览!$B$13))))),0)))</f>
        <v/>
      </c>
      <c r="L54" s="30" t="inlineStr"/>
      <c r="M54" s="11">
        <f>SUM(H54:K54)</f>
        <v/>
      </c>
      <c r="N54" s="11">
        <f>G54-M54</f>
        <v/>
      </c>
      <c r="O54" s="11">
        <f>O53+N54</f>
        <v/>
      </c>
    </row>
    <row r="55">
      <c r="A55" s="31" t="n">
        <v>54</v>
      </c>
      <c r="B55" s="31" t="n">
        <v>2030</v>
      </c>
      <c r="C55" s="31" t="inlineStr">
        <is>
          <t>7月</t>
        </is>
      </c>
      <c r="D55" s="32">
        <f>IF(AND(总览!$L$6&lt;&gt;"",B55*100+VALUE(LEFT(C55,LEN(C55)-1))&gt;=总览!$L$6),总览!$M$6,IF(AND(总览!$J$6&lt;&gt;"",B55*100+VALUE(LEFT(C55,LEN(C55)-1))&gt;=总览!$J$6),总览!$K$6,IF(AND(总览!$H$6&lt;&gt;"",B55*100+VALUE(LEFT(C55,LEN(C55)-1))&gt;=总览!$H$6),总览!$I$6,IF(AND(总览!$F$6&lt;&gt;"",B55*100+VALUE(LEFT(C55,LEN(C55)-1))&gt;=总览!$F$6),总览!$G$6,IF(AND(总览!$D$6&lt;&gt;"",B55*100+VALUE(LEFT(C55,LEN(C55)-1))&gt;=总览!$D$6),总览!$E$6,总览!$B$6)))))</f>
        <v/>
      </c>
      <c r="E55" s="32">
        <f>IF(C55="12月",IF(AND(总览!$L$7&lt;&gt;"",B55*100+VALUE(LEFT(C55,LEN(C55)-1))&gt;=总览!$L$7),总览!$M$7,IF(AND(总览!$J$7&lt;&gt;"",B55*100+VALUE(LEFT(C55,LEN(C55)-1))&gt;=总览!$J$7),总览!$K$7,IF(AND(总览!$H$7&lt;&gt;"",B55*100+VALUE(LEFT(C55,LEN(C55)-1))&gt;=总览!$H$7),总览!$I$7,IF(AND(总览!$F$7&lt;&gt;"",B55*100+VALUE(LEFT(C55,LEN(C55)-1))&gt;=总览!$F$7),总览!$G$7,IF(AND(总览!$D$7&lt;&gt;"",B55*100+VALUE(LEFT(C55,LEN(C55)-1))&gt;=总览!$D$7),总览!$E$7,总览!$B$7))))),0)</f>
        <v/>
      </c>
      <c r="F55" s="32">
        <f>ROUND(O54*总览!$B$14/12,0)</f>
        <v/>
      </c>
      <c r="G55" s="32">
        <f>D55+E55+F55</f>
        <v/>
      </c>
      <c r="H55" s="32">
        <f>IF(OR(B55&gt;2027,AND(B55=2027,VALUE(LEFT(C55,LEN(C55)-1))&gt;=9)),IF(AND(总览!$L$10&lt;&gt;"",B55*100+VALUE(LEFT(C55,LEN(C55)-1))&gt;=总览!$L$10),总览!$M$10,IF(AND(总览!$J$10&lt;&gt;"",B55*100+VALUE(LEFT(C55,LEN(C55)-1))&gt;=总览!$J$10),总览!$K$10,IF(AND(总览!$H$10&lt;&gt;"",B55*100+VALUE(LEFT(C55,LEN(C55)-1))&gt;=总览!$H$10),总览!$I$10,IF(AND(总览!$F$10&lt;&gt;"",B55*100+VALUE(LEFT(C55,LEN(C55)-1))&gt;=总览!$F$10),总览!$G$10,IF(AND(总览!$D$10&lt;&gt;"",B55*100+VALUE(LEFT(C55,LEN(C55)-1))&gt;=总览!$D$10),总览!$E$10,总览!$B$10))))),IF(AND(总览!$L$9&lt;&gt;"",B55*100+VALUE(LEFT(C55,LEN(C55)-1))&gt;=总览!$L$9),总览!$M$9,IF(AND(总览!$J$9&lt;&gt;"",B55*100+VALUE(LEFT(C55,LEN(C55)-1))&gt;=总览!$J$9),总览!$K$9,IF(AND(总览!$H$9&lt;&gt;"",B55*100+VALUE(LEFT(C55,LEN(C55)-1))&gt;=总览!$H$9),总览!$I$9,IF(AND(总览!$F$9&lt;&gt;"",B55*100+VALUE(LEFT(C55,LEN(C55)-1))&gt;=总览!$F$9),总览!$G$9,IF(AND(总览!$D$9&lt;&gt;"",B55*100+VALUE(LEFT(C55,LEN(C55)-1))&gt;=总览!$D$9),总览!$E$9,总览!$B$9))))))</f>
        <v/>
      </c>
      <c r="I55" s="32">
        <f>IF(AND(总览!$L$11&lt;&gt;"",B55*100+VALUE(LEFT(C55,LEN(C55)-1))&gt;=总览!$L$11),总览!$M$11,IF(AND(总览!$J$11&lt;&gt;"",B55*100+VALUE(LEFT(C55,LEN(C55)-1))&gt;=总览!$J$11),总览!$K$11,IF(AND(总览!$H$11&lt;&gt;"",B55*100+VALUE(LEFT(C55,LEN(C55)-1))&gt;=总览!$H$11),总览!$I$11,IF(AND(总览!$F$11&lt;&gt;"",B55*100+VALUE(LEFT(C55,LEN(C55)-1))&gt;=总览!$F$11),总览!$G$11,IF(AND(总览!$D$11&lt;&gt;"",B55*100+VALUE(LEFT(C55,LEN(C55)-1))&gt;=总览!$D$11),总览!$E$11,总览!$B$11)))))</f>
        <v/>
      </c>
      <c r="J55" s="32">
        <f>IF(OR(B55&gt;2027,AND(B55=2027,VALUE(LEFT(C55,LEN(C55)-1))&gt;=9)),IF(AND(总览!$L$12&lt;&gt;"",B55*100+VALUE(LEFT(C55,LEN(C55)-1))&gt;=总览!$L$12),总览!$M$12,IF(AND(总览!$J$12&lt;&gt;"",B55*100+VALUE(LEFT(C55,LEN(C55)-1))&gt;=总览!$J$12),总览!$K$12,IF(AND(总览!$H$12&lt;&gt;"",B55*100+VALUE(LEFT(C55,LEN(C55)-1))&gt;=总览!$H$12),总览!$I$12,IF(AND(总览!$F$12&lt;&gt;"",B55*100+VALUE(LEFT(C55,LEN(C55)-1))&gt;=总览!$F$12),总览!$G$12,IF(AND(总览!$D$12&lt;&gt;"",B55*100+VALUE(LEFT(C55,LEN(C55)-1))&gt;=总览!$D$12),总览!$E$12,总览!$B$12))))),0)</f>
        <v/>
      </c>
      <c r="K55" s="32">
        <f>IF(AND(B55=2026,C55="5月"),120000,IF(AND(B55=2027,C55="9月"),30000,IF(C55="10月",IF(AND(总览!$L$13&lt;&gt;"",B55*100+VALUE(LEFT(C55,LEN(C55)-1))&gt;=总览!$L$13),总览!$M$13,IF(AND(总览!$J$13&lt;&gt;"",B55*100+VALUE(LEFT(C55,LEN(C55)-1))&gt;=总览!$J$13),总览!$K$13,IF(AND(总览!$H$13&lt;&gt;"",B55*100+VALUE(LEFT(C55,LEN(C55)-1))&gt;=总览!$H$13),总览!$I$13,IF(AND(总览!$F$13&lt;&gt;"",B55*100+VALUE(LEFT(C55,LEN(C55)-1))&gt;=总览!$F$13),总览!$G$13,IF(AND(总览!$D$13&lt;&gt;"",B55*100+VALUE(LEFT(C55,LEN(C55)-1))&gt;=总览!$D$13),总览!$E$13,总览!$B$13))))),0)))</f>
        <v/>
      </c>
      <c r="L55" s="31" t="inlineStr"/>
      <c r="M55" s="32">
        <f>SUM(H55:K55)</f>
        <v/>
      </c>
      <c r="N55" s="32">
        <f>G55-M55</f>
        <v/>
      </c>
      <c r="O55" s="32">
        <f>O54+N55</f>
        <v/>
      </c>
    </row>
    <row r="56">
      <c r="A56" s="30" t="n">
        <v>55</v>
      </c>
      <c r="B56" s="30" t="n">
        <v>2030</v>
      </c>
      <c r="C56" s="30" t="inlineStr">
        <is>
          <t>8月</t>
        </is>
      </c>
      <c r="D56" s="11">
        <f>IF(AND(总览!$L$6&lt;&gt;"",B56*100+VALUE(LEFT(C56,LEN(C56)-1))&gt;=总览!$L$6),总览!$M$6,IF(AND(总览!$J$6&lt;&gt;"",B56*100+VALUE(LEFT(C56,LEN(C56)-1))&gt;=总览!$J$6),总览!$K$6,IF(AND(总览!$H$6&lt;&gt;"",B56*100+VALUE(LEFT(C56,LEN(C56)-1))&gt;=总览!$H$6),总览!$I$6,IF(AND(总览!$F$6&lt;&gt;"",B56*100+VALUE(LEFT(C56,LEN(C56)-1))&gt;=总览!$F$6),总览!$G$6,IF(AND(总览!$D$6&lt;&gt;"",B56*100+VALUE(LEFT(C56,LEN(C56)-1))&gt;=总览!$D$6),总览!$E$6,总览!$B$6)))))</f>
        <v/>
      </c>
      <c r="E56" s="11">
        <f>IF(C56="12月",IF(AND(总览!$L$7&lt;&gt;"",B56*100+VALUE(LEFT(C56,LEN(C56)-1))&gt;=总览!$L$7),总览!$M$7,IF(AND(总览!$J$7&lt;&gt;"",B56*100+VALUE(LEFT(C56,LEN(C56)-1))&gt;=总览!$J$7),总览!$K$7,IF(AND(总览!$H$7&lt;&gt;"",B56*100+VALUE(LEFT(C56,LEN(C56)-1))&gt;=总览!$H$7),总览!$I$7,IF(AND(总览!$F$7&lt;&gt;"",B56*100+VALUE(LEFT(C56,LEN(C56)-1))&gt;=总览!$F$7),总览!$G$7,IF(AND(总览!$D$7&lt;&gt;"",B56*100+VALUE(LEFT(C56,LEN(C56)-1))&gt;=总览!$D$7),总览!$E$7,总览!$B$7))))),0)</f>
        <v/>
      </c>
      <c r="F56" s="11">
        <f>ROUND(O55*总览!$B$14/12,0)</f>
        <v/>
      </c>
      <c r="G56" s="11">
        <f>D56+E56+F56</f>
        <v/>
      </c>
      <c r="H56" s="11">
        <f>IF(OR(B56&gt;2027,AND(B56=2027,VALUE(LEFT(C56,LEN(C56)-1))&gt;=9)),IF(AND(总览!$L$10&lt;&gt;"",B56*100+VALUE(LEFT(C56,LEN(C56)-1))&gt;=总览!$L$10),总览!$M$10,IF(AND(总览!$J$10&lt;&gt;"",B56*100+VALUE(LEFT(C56,LEN(C56)-1))&gt;=总览!$J$10),总览!$K$10,IF(AND(总览!$H$10&lt;&gt;"",B56*100+VALUE(LEFT(C56,LEN(C56)-1))&gt;=总览!$H$10),总览!$I$10,IF(AND(总览!$F$10&lt;&gt;"",B56*100+VALUE(LEFT(C56,LEN(C56)-1))&gt;=总览!$F$10),总览!$G$10,IF(AND(总览!$D$10&lt;&gt;"",B56*100+VALUE(LEFT(C56,LEN(C56)-1))&gt;=总览!$D$10),总览!$E$10,总览!$B$10))))),IF(AND(总览!$L$9&lt;&gt;"",B56*100+VALUE(LEFT(C56,LEN(C56)-1))&gt;=总览!$L$9),总览!$M$9,IF(AND(总览!$J$9&lt;&gt;"",B56*100+VALUE(LEFT(C56,LEN(C56)-1))&gt;=总览!$J$9),总览!$K$9,IF(AND(总览!$H$9&lt;&gt;"",B56*100+VALUE(LEFT(C56,LEN(C56)-1))&gt;=总览!$H$9),总览!$I$9,IF(AND(总览!$F$9&lt;&gt;"",B56*100+VALUE(LEFT(C56,LEN(C56)-1))&gt;=总览!$F$9),总览!$G$9,IF(AND(总览!$D$9&lt;&gt;"",B56*100+VALUE(LEFT(C56,LEN(C56)-1))&gt;=总览!$D$9),总览!$E$9,总览!$B$9))))))</f>
        <v/>
      </c>
      <c r="I56" s="11">
        <f>IF(AND(总览!$L$11&lt;&gt;"",B56*100+VALUE(LEFT(C56,LEN(C56)-1))&gt;=总览!$L$11),总览!$M$11,IF(AND(总览!$J$11&lt;&gt;"",B56*100+VALUE(LEFT(C56,LEN(C56)-1))&gt;=总览!$J$11),总览!$K$11,IF(AND(总览!$H$11&lt;&gt;"",B56*100+VALUE(LEFT(C56,LEN(C56)-1))&gt;=总览!$H$11),总览!$I$11,IF(AND(总览!$F$11&lt;&gt;"",B56*100+VALUE(LEFT(C56,LEN(C56)-1))&gt;=总览!$F$11),总览!$G$11,IF(AND(总览!$D$11&lt;&gt;"",B56*100+VALUE(LEFT(C56,LEN(C56)-1))&gt;=总览!$D$11),总览!$E$11,总览!$B$11)))))</f>
        <v/>
      </c>
      <c r="J56" s="11">
        <f>IF(OR(B56&gt;2027,AND(B56=2027,VALUE(LEFT(C56,LEN(C56)-1))&gt;=9)),IF(AND(总览!$L$12&lt;&gt;"",B56*100+VALUE(LEFT(C56,LEN(C56)-1))&gt;=总览!$L$12),总览!$M$12,IF(AND(总览!$J$12&lt;&gt;"",B56*100+VALUE(LEFT(C56,LEN(C56)-1))&gt;=总览!$J$12),总览!$K$12,IF(AND(总览!$H$12&lt;&gt;"",B56*100+VALUE(LEFT(C56,LEN(C56)-1))&gt;=总览!$H$12),总览!$I$12,IF(AND(总览!$F$12&lt;&gt;"",B56*100+VALUE(LEFT(C56,LEN(C56)-1))&gt;=总览!$F$12),总览!$G$12,IF(AND(总览!$D$12&lt;&gt;"",B56*100+VALUE(LEFT(C56,LEN(C56)-1))&gt;=总览!$D$12),总览!$E$12,总览!$B$12))))),0)</f>
        <v/>
      </c>
      <c r="K56" s="11">
        <f>IF(AND(B56=2026,C56="5月"),120000,IF(AND(B56=2027,C56="9月"),30000,IF(C56="10月",IF(AND(总览!$L$13&lt;&gt;"",B56*100+VALUE(LEFT(C56,LEN(C56)-1))&gt;=总览!$L$13),总览!$M$13,IF(AND(总览!$J$13&lt;&gt;"",B56*100+VALUE(LEFT(C56,LEN(C56)-1))&gt;=总览!$J$13),总览!$K$13,IF(AND(总览!$H$13&lt;&gt;"",B56*100+VALUE(LEFT(C56,LEN(C56)-1))&gt;=总览!$H$13),总览!$I$13,IF(AND(总览!$F$13&lt;&gt;"",B56*100+VALUE(LEFT(C56,LEN(C56)-1))&gt;=总览!$F$13),总览!$G$13,IF(AND(总览!$D$13&lt;&gt;"",B56*100+VALUE(LEFT(C56,LEN(C56)-1))&gt;=总览!$D$13),总览!$E$13,总览!$B$13))))),0)))</f>
        <v/>
      </c>
      <c r="L56" s="30" t="inlineStr"/>
      <c r="M56" s="11">
        <f>SUM(H56:K56)</f>
        <v/>
      </c>
      <c r="N56" s="11">
        <f>G56-M56</f>
        <v/>
      </c>
      <c r="O56" s="11">
        <f>O55+N56</f>
        <v/>
      </c>
    </row>
    <row r="57">
      <c r="A57" s="31" t="n">
        <v>56</v>
      </c>
      <c r="B57" s="31" t="n">
        <v>2030</v>
      </c>
      <c r="C57" s="31" t="inlineStr">
        <is>
          <t>9月</t>
        </is>
      </c>
      <c r="D57" s="32">
        <f>IF(AND(总览!$L$6&lt;&gt;"",B57*100+VALUE(LEFT(C57,LEN(C57)-1))&gt;=总览!$L$6),总览!$M$6,IF(AND(总览!$J$6&lt;&gt;"",B57*100+VALUE(LEFT(C57,LEN(C57)-1))&gt;=总览!$J$6),总览!$K$6,IF(AND(总览!$H$6&lt;&gt;"",B57*100+VALUE(LEFT(C57,LEN(C57)-1))&gt;=总览!$H$6),总览!$I$6,IF(AND(总览!$F$6&lt;&gt;"",B57*100+VALUE(LEFT(C57,LEN(C57)-1))&gt;=总览!$F$6),总览!$G$6,IF(AND(总览!$D$6&lt;&gt;"",B57*100+VALUE(LEFT(C57,LEN(C57)-1))&gt;=总览!$D$6),总览!$E$6,总览!$B$6)))))</f>
        <v/>
      </c>
      <c r="E57" s="32">
        <f>IF(C57="12月",IF(AND(总览!$L$7&lt;&gt;"",B57*100+VALUE(LEFT(C57,LEN(C57)-1))&gt;=总览!$L$7),总览!$M$7,IF(AND(总览!$J$7&lt;&gt;"",B57*100+VALUE(LEFT(C57,LEN(C57)-1))&gt;=总览!$J$7),总览!$K$7,IF(AND(总览!$H$7&lt;&gt;"",B57*100+VALUE(LEFT(C57,LEN(C57)-1))&gt;=总览!$H$7),总览!$I$7,IF(AND(总览!$F$7&lt;&gt;"",B57*100+VALUE(LEFT(C57,LEN(C57)-1))&gt;=总览!$F$7),总览!$G$7,IF(AND(总览!$D$7&lt;&gt;"",B57*100+VALUE(LEFT(C57,LEN(C57)-1))&gt;=总览!$D$7),总览!$E$7,总览!$B$7))))),0)</f>
        <v/>
      </c>
      <c r="F57" s="32">
        <f>ROUND(O56*总览!$B$14/12,0)</f>
        <v/>
      </c>
      <c r="G57" s="32">
        <f>D57+E57+F57</f>
        <v/>
      </c>
      <c r="H57" s="32">
        <f>IF(OR(B57&gt;2027,AND(B57=2027,VALUE(LEFT(C57,LEN(C57)-1))&gt;=9)),IF(AND(总览!$L$10&lt;&gt;"",B57*100+VALUE(LEFT(C57,LEN(C57)-1))&gt;=总览!$L$10),总览!$M$10,IF(AND(总览!$J$10&lt;&gt;"",B57*100+VALUE(LEFT(C57,LEN(C57)-1))&gt;=总览!$J$10),总览!$K$10,IF(AND(总览!$H$10&lt;&gt;"",B57*100+VALUE(LEFT(C57,LEN(C57)-1))&gt;=总览!$H$10),总览!$I$10,IF(AND(总览!$F$10&lt;&gt;"",B57*100+VALUE(LEFT(C57,LEN(C57)-1))&gt;=总览!$F$10),总览!$G$10,IF(AND(总览!$D$10&lt;&gt;"",B57*100+VALUE(LEFT(C57,LEN(C57)-1))&gt;=总览!$D$10),总览!$E$10,总览!$B$10))))),IF(AND(总览!$L$9&lt;&gt;"",B57*100+VALUE(LEFT(C57,LEN(C57)-1))&gt;=总览!$L$9),总览!$M$9,IF(AND(总览!$J$9&lt;&gt;"",B57*100+VALUE(LEFT(C57,LEN(C57)-1))&gt;=总览!$J$9),总览!$K$9,IF(AND(总览!$H$9&lt;&gt;"",B57*100+VALUE(LEFT(C57,LEN(C57)-1))&gt;=总览!$H$9),总览!$I$9,IF(AND(总览!$F$9&lt;&gt;"",B57*100+VALUE(LEFT(C57,LEN(C57)-1))&gt;=总览!$F$9),总览!$G$9,IF(AND(总览!$D$9&lt;&gt;"",B57*100+VALUE(LEFT(C57,LEN(C57)-1))&gt;=总览!$D$9),总览!$E$9,总览!$B$9))))))</f>
        <v/>
      </c>
      <c r="I57" s="32">
        <f>IF(AND(总览!$L$11&lt;&gt;"",B57*100+VALUE(LEFT(C57,LEN(C57)-1))&gt;=总览!$L$11),总览!$M$11,IF(AND(总览!$J$11&lt;&gt;"",B57*100+VALUE(LEFT(C57,LEN(C57)-1))&gt;=总览!$J$11),总览!$K$11,IF(AND(总览!$H$11&lt;&gt;"",B57*100+VALUE(LEFT(C57,LEN(C57)-1))&gt;=总览!$H$11),总览!$I$11,IF(AND(总览!$F$11&lt;&gt;"",B57*100+VALUE(LEFT(C57,LEN(C57)-1))&gt;=总览!$F$11),总览!$G$11,IF(AND(总览!$D$11&lt;&gt;"",B57*100+VALUE(LEFT(C57,LEN(C57)-1))&gt;=总览!$D$11),总览!$E$11,总览!$B$11)))))</f>
        <v/>
      </c>
      <c r="J57" s="32">
        <f>IF(OR(B57&gt;2027,AND(B57=2027,VALUE(LEFT(C57,LEN(C57)-1))&gt;=9)),IF(AND(总览!$L$12&lt;&gt;"",B57*100+VALUE(LEFT(C57,LEN(C57)-1))&gt;=总览!$L$12),总览!$M$12,IF(AND(总览!$J$12&lt;&gt;"",B57*100+VALUE(LEFT(C57,LEN(C57)-1))&gt;=总览!$J$12),总览!$K$12,IF(AND(总览!$H$12&lt;&gt;"",B57*100+VALUE(LEFT(C57,LEN(C57)-1))&gt;=总览!$H$12),总览!$I$12,IF(AND(总览!$F$12&lt;&gt;"",B57*100+VALUE(LEFT(C57,LEN(C57)-1))&gt;=总览!$F$12),总览!$G$12,IF(AND(总览!$D$12&lt;&gt;"",B57*100+VALUE(LEFT(C57,LEN(C57)-1))&gt;=总览!$D$12),总览!$E$12,总览!$B$12))))),0)</f>
        <v/>
      </c>
      <c r="K57" s="32">
        <f>IF(AND(B57=2026,C57="5月"),120000,IF(AND(B57=2027,C57="9月"),30000,IF(C57="10月",IF(AND(总览!$L$13&lt;&gt;"",B57*100+VALUE(LEFT(C57,LEN(C57)-1))&gt;=总览!$L$13),总览!$M$13,IF(AND(总览!$J$13&lt;&gt;"",B57*100+VALUE(LEFT(C57,LEN(C57)-1))&gt;=总览!$J$13),总览!$K$13,IF(AND(总览!$H$13&lt;&gt;"",B57*100+VALUE(LEFT(C57,LEN(C57)-1))&gt;=总览!$H$13),总览!$I$13,IF(AND(总览!$F$13&lt;&gt;"",B57*100+VALUE(LEFT(C57,LEN(C57)-1))&gt;=总览!$F$13),总览!$G$13,IF(AND(总览!$D$13&lt;&gt;"",B57*100+VALUE(LEFT(C57,LEN(C57)-1))&gt;=总览!$D$13),总览!$E$13,总览!$B$13))))),0)))</f>
        <v/>
      </c>
      <c r="L57" s="31" t="inlineStr"/>
      <c r="M57" s="32">
        <f>SUM(H57:K57)</f>
        <v/>
      </c>
      <c r="N57" s="32">
        <f>G57-M57</f>
        <v/>
      </c>
      <c r="O57" s="32">
        <f>O56+N57</f>
        <v/>
      </c>
    </row>
    <row r="58">
      <c r="A58" s="33" t="n">
        <v>57</v>
      </c>
      <c r="B58" s="33" t="n">
        <v>2030</v>
      </c>
      <c r="C58" s="33" t="inlineStr">
        <is>
          <t>10月</t>
        </is>
      </c>
      <c r="D58" s="34">
        <f>IF(AND(总览!$L$6&lt;&gt;"",B58*100+VALUE(LEFT(C58,LEN(C58)-1))&gt;=总览!$L$6),总览!$M$6,IF(AND(总览!$J$6&lt;&gt;"",B58*100+VALUE(LEFT(C58,LEN(C58)-1))&gt;=总览!$J$6),总览!$K$6,IF(AND(总览!$H$6&lt;&gt;"",B58*100+VALUE(LEFT(C58,LEN(C58)-1))&gt;=总览!$H$6),总览!$I$6,IF(AND(总览!$F$6&lt;&gt;"",B58*100+VALUE(LEFT(C58,LEN(C58)-1))&gt;=总览!$F$6),总览!$G$6,IF(AND(总览!$D$6&lt;&gt;"",B58*100+VALUE(LEFT(C58,LEN(C58)-1))&gt;=总览!$D$6),总览!$E$6,总览!$B$6)))))</f>
        <v/>
      </c>
      <c r="E58" s="34">
        <f>IF(C58="12月",IF(AND(总览!$L$7&lt;&gt;"",B58*100+VALUE(LEFT(C58,LEN(C58)-1))&gt;=总览!$L$7),总览!$M$7,IF(AND(总览!$J$7&lt;&gt;"",B58*100+VALUE(LEFT(C58,LEN(C58)-1))&gt;=总览!$J$7),总览!$K$7,IF(AND(总览!$H$7&lt;&gt;"",B58*100+VALUE(LEFT(C58,LEN(C58)-1))&gt;=总览!$H$7),总览!$I$7,IF(AND(总览!$F$7&lt;&gt;"",B58*100+VALUE(LEFT(C58,LEN(C58)-1))&gt;=总览!$F$7),总览!$G$7,IF(AND(总览!$D$7&lt;&gt;"",B58*100+VALUE(LEFT(C58,LEN(C58)-1))&gt;=总览!$D$7),总览!$E$7,总览!$B$7))))),0)</f>
        <v/>
      </c>
      <c r="F58" s="34">
        <f>ROUND(O57*总览!$B$14/12,0)</f>
        <v/>
      </c>
      <c r="G58" s="34">
        <f>D58+E58+F58</f>
        <v/>
      </c>
      <c r="H58" s="34">
        <f>IF(OR(B58&gt;2027,AND(B58=2027,VALUE(LEFT(C58,LEN(C58)-1))&gt;=9)),IF(AND(总览!$L$10&lt;&gt;"",B58*100+VALUE(LEFT(C58,LEN(C58)-1))&gt;=总览!$L$10),总览!$M$10,IF(AND(总览!$J$10&lt;&gt;"",B58*100+VALUE(LEFT(C58,LEN(C58)-1))&gt;=总览!$J$10),总览!$K$10,IF(AND(总览!$H$10&lt;&gt;"",B58*100+VALUE(LEFT(C58,LEN(C58)-1))&gt;=总览!$H$10),总览!$I$10,IF(AND(总览!$F$10&lt;&gt;"",B58*100+VALUE(LEFT(C58,LEN(C58)-1))&gt;=总览!$F$10),总览!$G$10,IF(AND(总览!$D$10&lt;&gt;"",B58*100+VALUE(LEFT(C58,LEN(C58)-1))&gt;=总览!$D$10),总览!$E$10,总览!$B$10))))),IF(AND(总览!$L$9&lt;&gt;"",B58*100+VALUE(LEFT(C58,LEN(C58)-1))&gt;=总览!$L$9),总览!$M$9,IF(AND(总览!$J$9&lt;&gt;"",B58*100+VALUE(LEFT(C58,LEN(C58)-1))&gt;=总览!$J$9),总览!$K$9,IF(AND(总览!$H$9&lt;&gt;"",B58*100+VALUE(LEFT(C58,LEN(C58)-1))&gt;=总览!$H$9),总览!$I$9,IF(AND(总览!$F$9&lt;&gt;"",B58*100+VALUE(LEFT(C58,LEN(C58)-1))&gt;=总览!$F$9),总览!$G$9,IF(AND(总览!$D$9&lt;&gt;"",B58*100+VALUE(LEFT(C58,LEN(C58)-1))&gt;=总览!$D$9),总览!$E$9,总览!$B$9))))))</f>
        <v/>
      </c>
      <c r="I58" s="34">
        <f>IF(AND(总览!$L$11&lt;&gt;"",B58*100+VALUE(LEFT(C58,LEN(C58)-1))&gt;=总览!$L$11),总览!$M$11,IF(AND(总览!$J$11&lt;&gt;"",B58*100+VALUE(LEFT(C58,LEN(C58)-1))&gt;=总览!$J$11),总览!$K$11,IF(AND(总览!$H$11&lt;&gt;"",B58*100+VALUE(LEFT(C58,LEN(C58)-1))&gt;=总览!$H$11),总览!$I$11,IF(AND(总览!$F$11&lt;&gt;"",B58*100+VALUE(LEFT(C58,LEN(C58)-1))&gt;=总览!$F$11),总览!$G$11,IF(AND(总览!$D$11&lt;&gt;"",B58*100+VALUE(LEFT(C58,LEN(C58)-1))&gt;=总览!$D$11),总览!$E$11,总览!$B$11)))))</f>
        <v/>
      </c>
      <c r="J58" s="34">
        <f>IF(OR(B58&gt;2027,AND(B58=2027,VALUE(LEFT(C58,LEN(C58)-1))&gt;=9)),IF(AND(总览!$L$12&lt;&gt;"",B58*100+VALUE(LEFT(C58,LEN(C58)-1))&gt;=总览!$L$12),总览!$M$12,IF(AND(总览!$J$12&lt;&gt;"",B58*100+VALUE(LEFT(C58,LEN(C58)-1))&gt;=总览!$J$12),总览!$K$12,IF(AND(总览!$H$12&lt;&gt;"",B58*100+VALUE(LEFT(C58,LEN(C58)-1))&gt;=总览!$H$12),总览!$I$12,IF(AND(总览!$F$12&lt;&gt;"",B58*100+VALUE(LEFT(C58,LEN(C58)-1))&gt;=总览!$F$12),总览!$G$12,IF(AND(总览!$D$12&lt;&gt;"",B58*100+VALUE(LEFT(C58,LEN(C58)-1))&gt;=总览!$D$12),总览!$E$12,总览!$B$12))))),0)</f>
        <v/>
      </c>
      <c r="K58" s="34">
        <f>IF(AND(B58=2026,C58="5月"),120000,IF(AND(B58=2027,C58="9月"),30000,IF(C58="10月",IF(AND(总览!$L$13&lt;&gt;"",B58*100+VALUE(LEFT(C58,LEN(C58)-1))&gt;=总览!$L$13),总览!$M$13,IF(AND(总览!$J$13&lt;&gt;"",B58*100+VALUE(LEFT(C58,LEN(C58)-1))&gt;=总览!$J$13),总览!$K$13,IF(AND(总览!$H$13&lt;&gt;"",B58*100+VALUE(LEFT(C58,LEN(C58)-1))&gt;=总览!$H$13),总览!$I$13,IF(AND(总览!$F$13&lt;&gt;"",B58*100+VALUE(LEFT(C58,LEN(C58)-1))&gt;=总览!$F$13),总览!$G$13,IF(AND(总览!$D$13&lt;&gt;"",B58*100+VALUE(LEFT(C58,LEN(C58)-1))&gt;=总览!$D$13),总览!$E$13,总览!$B$13))))),0)))</f>
        <v/>
      </c>
      <c r="L58" s="33" t="inlineStr">
        <is>
          <t>年度旅游</t>
        </is>
      </c>
      <c r="M58" s="34">
        <f>SUM(H58:K58)</f>
        <v/>
      </c>
      <c r="N58" s="34">
        <f>G58-M58</f>
        <v/>
      </c>
      <c r="O58" s="34">
        <f>O57+N58</f>
        <v/>
      </c>
    </row>
    <row r="59">
      <c r="A59" s="31" t="n">
        <v>58</v>
      </c>
      <c r="B59" s="31" t="n">
        <v>2030</v>
      </c>
      <c r="C59" s="31" t="inlineStr">
        <is>
          <t>11月</t>
        </is>
      </c>
      <c r="D59" s="32">
        <f>IF(AND(总览!$L$6&lt;&gt;"",B59*100+VALUE(LEFT(C59,LEN(C59)-1))&gt;=总览!$L$6),总览!$M$6,IF(AND(总览!$J$6&lt;&gt;"",B59*100+VALUE(LEFT(C59,LEN(C59)-1))&gt;=总览!$J$6),总览!$K$6,IF(AND(总览!$H$6&lt;&gt;"",B59*100+VALUE(LEFT(C59,LEN(C59)-1))&gt;=总览!$H$6),总览!$I$6,IF(AND(总览!$F$6&lt;&gt;"",B59*100+VALUE(LEFT(C59,LEN(C59)-1))&gt;=总览!$F$6),总览!$G$6,IF(AND(总览!$D$6&lt;&gt;"",B59*100+VALUE(LEFT(C59,LEN(C59)-1))&gt;=总览!$D$6),总览!$E$6,总览!$B$6)))))</f>
        <v/>
      </c>
      <c r="E59" s="32">
        <f>IF(C59="12月",IF(AND(总览!$L$7&lt;&gt;"",B59*100+VALUE(LEFT(C59,LEN(C59)-1))&gt;=总览!$L$7),总览!$M$7,IF(AND(总览!$J$7&lt;&gt;"",B59*100+VALUE(LEFT(C59,LEN(C59)-1))&gt;=总览!$J$7),总览!$K$7,IF(AND(总览!$H$7&lt;&gt;"",B59*100+VALUE(LEFT(C59,LEN(C59)-1))&gt;=总览!$H$7),总览!$I$7,IF(AND(总览!$F$7&lt;&gt;"",B59*100+VALUE(LEFT(C59,LEN(C59)-1))&gt;=总览!$F$7),总览!$G$7,IF(AND(总览!$D$7&lt;&gt;"",B59*100+VALUE(LEFT(C59,LEN(C59)-1))&gt;=总览!$D$7),总览!$E$7,总览!$B$7))))),0)</f>
        <v/>
      </c>
      <c r="F59" s="32">
        <f>ROUND(O58*总览!$B$14/12,0)</f>
        <v/>
      </c>
      <c r="G59" s="32">
        <f>D59+E59+F59</f>
        <v/>
      </c>
      <c r="H59" s="32">
        <f>IF(OR(B59&gt;2027,AND(B59=2027,VALUE(LEFT(C59,LEN(C59)-1))&gt;=9)),IF(AND(总览!$L$10&lt;&gt;"",B59*100+VALUE(LEFT(C59,LEN(C59)-1))&gt;=总览!$L$10),总览!$M$10,IF(AND(总览!$J$10&lt;&gt;"",B59*100+VALUE(LEFT(C59,LEN(C59)-1))&gt;=总览!$J$10),总览!$K$10,IF(AND(总览!$H$10&lt;&gt;"",B59*100+VALUE(LEFT(C59,LEN(C59)-1))&gt;=总览!$H$10),总览!$I$10,IF(AND(总览!$F$10&lt;&gt;"",B59*100+VALUE(LEFT(C59,LEN(C59)-1))&gt;=总览!$F$10),总览!$G$10,IF(AND(总览!$D$10&lt;&gt;"",B59*100+VALUE(LEFT(C59,LEN(C59)-1))&gt;=总览!$D$10),总览!$E$10,总览!$B$10))))),IF(AND(总览!$L$9&lt;&gt;"",B59*100+VALUE(LEFT(C59,LEN(C59)-1))&gt;=总览!$L$9),总览!$M$9,IF(AND(总览!$J$9&lt;&gt;"",B59*100+VALUE(LEFT(C59,LEN(C59)-1))&gt;=总览!$J$9),总览!$K$9,IF(AND(总览!$H$9&lt;&gt;"",B59*100+VALUE(LEFT(C59,LEN(C59)-1))&gt;=总览!$H$9),总览!$I$9,IF(AND(总览!$F$9&lt;&gt;"",B59*100+VALUE(LEFT(C59,LEN(C59)-1))&gt;=总览!$F$9),总览!$G$9,IF(AND(总览!$D$9&lt;&gt;"",B59*100+VALUE(LEFT(C59,LEN(C59)-1))&gt;=总览!$D$9),总览!$E$9,总览!$B$9))))))</f>
        <v/>
      </c>
      <c r="I59" s="32">
        <f>IF(AND(总览!$L$11&lt;&gt;"",B59*100+VALUE(LEFT(C59,LEN(C59)-1))&gt;=总览!$L$11),总览!$M$11,IF(AND(总览!$J$11&lt;&gt;"",B59*100+VALUE(LEFT(C59,LEN(C59)-1))&gt;=总览!$J$11),总览!$K$11,IF(AND(总览!$H$11&lt;&gt;"",B59*100+VALUE(LEFT(C59,LEN(C59)-1))&gt;=总览!$H$11),总览!$I$11,IF(AND(总览!$F$11&lt;&gt;"",B59*100+VALUE(LEFT(C59,LEN(C59)-1))&gt;=总览!$F$11),总览!$G$11,IF(AND(总览!$D$11&lt;&gt;"",B59*100+VALUE(LEFT(C59,LEN(C59)-1))&gt;=总览!$D$11),总览!$E$11,总览!$B$11)))))</f>
        <v/>
      </c>
      <c r="J59" s="32">
        <f>IF(OR(B59&gt;2027,AND(B59=2027,VALUE(LEFT(C59,LEN(C59)-1))&gt;=9)),IF(AND(总览!$L$12&lt;&gt;"",B59*100+VALUE(LEFT(C59,LEN(C59)-1))&gt;=总览!$L$12),总览!$M$12,IF(AND(总览!$J$12&lt;&gt;"",B59*100+VALUE(LEFT(C59,LEN(C59)-1))&gt;=总览!$J$12),总览!$K$12,IF(AND(总览!$H$12&lt;&gt;"",B59*100+VALUE(LEFT(C59,LEN(C59)-1))&gt;=总览!$H$12),总览!$I$12,IF(AND(总览!$F$12&lt;&gt;"",B59*100+VALUE(LEFT(C59,LEN(C59)-1))&gt;=总览!$F$12),总览!$G$12,IF(AND(总览!$D$12&lt;&gt;"",B59*100+VALUE(LEFT(C59,LEN(C59)-1))&gt;=总览!$D$12),总览!$E$12,总览!$B$12))))),0)</f>
        <v/>
      </c>
      <c r="K59" s="32">
        <f>IF(AND(B59=2026,C59="5月"),120000,IF(AND(B59=2027,C59="9月"),30000,IF(C59="10月",IF(AND(总览!$L$13&lt;&gt;"",B59*100+VALUE(LEFT(C59,LEN(C59)-1))&gt;=总览!$L$13),总览!$M$13,IF(AND(总览!$J$13&lt;&gt;"",B59*100+VALUE(LEFT(C59,LEN(C59)-1))&gt;=总览!$J$13),总览!$K$13,IF(AND(总览!$H$13&lt;&gt;"",B59*100+VALUE(LEFT(C59,LEN(C59)-1))&gt;=总览!$H$13),总览!$I$13,IF(AND(总览!$F$13&lt;&gt;"",B59*100+VALUE(LEFT(C59,LEN(C59)-1))&gt;=总览!$F$13),总览!$G$13,IF(AND(总览!$D$13&lt;&gt;"",B59*100+VALUE(LEFT(C59,LEN(C59)-1))&gt;=总览!$D$13),总览!$E$13,总览!$B$13))))),0)))</f>
        <v/>
      </c>
      <c r="L59" s="31" t="inlineStr"/>
      <c r="M59" s="32">
        <f>SUM(H59:K59)</f>
        <v/>
      </c>
      <c r="N59" s="32">
        <f>G59-M59</f>
        <v/>
      </c>
      <c r="O59" s="32">
        <f>O58+N59</f>
        <v/>
      </c>
    </row>
    <row r="60">
      <c r="A60" s="35" t="n">
        <v>59</v>
      </c>
      <c r="B60" s="35" t="n">
        <v>2030</v>
      </c>
      <c r="C60" s="35" t="inlineStr">
        <is>
          <t>12月</t>
        </is>
      </c>
      <c r="D60" s="36">
        <f>IF(AND(总览!$L$6&lt;&gt;"",B60*100+VALUE(LEFT(C60,LEN(C60)-1))&gt;=总览!$L$6),总览!$M$6,IF(AND(总览!$J$6&lt;&gt;"",B60*100+VALUE(LEFT(C60,LEN(C60)-1))&gt;=总览!$J$6),总览!$K$6,IF(AND(总览!$H$6&lt;&gt;"",B60*100+VALUE(LEFT(C60,LEN(C60)-1))&gt;=总览!$H$6),总览!$I$6,IF(AND(总览!$F$6&lt;&gt;"",B60*100+VALUE(LEFT(C60,LEN(C60)-1))&gt;=总览!$F$6),总览!$G$6,IF(AND(总览!$D$6&lt;&gt;"",B60*100+VALUE(LEFT(C60,LEN(C60)-1))&gt;=总览!$D$6),总览!$E$6,总览!$B$6)))))</f>
        <v/>
      </c>
      <c r="E60" s="36">
        <f>IF(C60="12月",IF(AND(总览!$L$7&lt;&gt;"",B60*100+VALUE(LEFT(C60,LEN(C60)-1))&gt;=总览!$L$7),总览!$M$7,IF(AND(总览!$J$7&lt;&gt;"",B60*100+VALUE(LEFT(C60,LEN(C60)-1))&gt;=总览!$J$7),总览!$K$7,IF(AND(总览!$H$7&lt;&gt;"",B60*100+VALUE(LEFT(C60,LEN(C60)-1))&gt;=总览!$H$7),总览!$I$7,IF(AND(总览!$F$7&lt;&gt;"",B60*100+VALUE(LEFT(C60,LEN(C60)-1))&gt;=总览!$F$7),总览!$G$7,IF(AND(总览!$D$7&lt;&gt;"",B60*100+VALUE(LEFT(C60,LEN(C60)-1))&gt;=总览!$D$7),总览!$E$7,总览!$B$7))))),0)</f>
        <v/>
      </c>
      <c r="F60" s="36">
        <f>ROUND(O59*总览!$B$14/12,0)</f>
        <v/>
      </c>
      <c r="G60" s="36">
        <f>D60+E60+F60</f>
        <v/>
      </c>
      <c r="H60" s="36">
        <f>IF(OR(B60&gt;2027,AND(B60=2027,VALUE(LEFT(C60,LEN(C60)-1))&gt;=9)),IF(AND(总览!$L$10&lt;&gt;"",B60*100+VALUE(LEFT(C60,LEN(C60)-1))&gt;=总览!$L$10),总览!$M$10,IF(AND(总览!$J$10&lt;&gt;"",B60*100+VALUE(LEFT(C60,LEN(C60)-1))&gt;=总览!$J$10),总览!$K$10,IF(AND(总览!$H$10&lt;&gt;"",B60*100+VALUE(LEFT(C60,LEN(C60)-1))&gt;=总览!$H$10),总览!$I$10,IF(AND(总览!$F$10&lt;&gt;"",B60*100+VALUE(LEFT(C60,LEN(C60)-1))&gt;=总览!$F$10),总览!$G$10,IF(AND(总览!$D$10&lt;&gt;"",B60*100+VALUE(LEFT(C60,LEN(C60)-1))&gt;=总览!$D$10),总览!$E$10,总览!$B$10))))),IF(AND(总览!$L$9&lt;&gt;"",B60*100+VALUE(LEFT(C60,LEN(C60)-1))&gt;=总览!$L$9),总览!$M$9,IF(AND(总览!$J$9&lt;&gt;"",B60*100+VALUE(LEFT(C60,LEN(C60)-1))&gt;=总览!$J$9),总览!$K$9,IF(AND(总览!$H$9&lt;&gt;"",B60*100+VALUE(LEFT(C60,LEN(C60)-1))&gt;=总览!$H$9),总览!$I$9,IF(AND(总览!$F$9&lt;&gt;"",B60*100+VALUE(LEFT(C60,LEN(C60)-1))&gt;=总览!$F$9),总览!$G$9,IF(AND(总览!$D$9&lt;&gt;"",B60*100+VALUE(LEFT(C60,LEN(C60)-1))&gt;=总览!$D$9),总览!$E$9,总览!$B$9))))))</f>
        <v/>
      </c>
      <c r="I60" s="36">
        <f>IF(AND(总览!$L$11&lt;&gt;"",B60*100+VALUE(LEFT(C60,LEN(C60)-1))&gt;=总览!$L$11),总览!$M$11,IF(AND(总览!$J$11&lt;&gt;"",B60*100+VALUE(LEFT(C60,LEN(C60)-1))&gt;=总览!$J$11),总览!$K$11,IF(AND(总览!$H$11&lt;&gt;"",B60*100+VALUE(LEFT(C60,LEN(C60)-1))&gt;=总览!$H$11),总览!$I$11,IF(AND(总览!$F$11&lt;&gt;"",B60*100+VALUE(LEFT(C60,LEN(C60)-1))&gt;=总览!$F$11),总览!$G$11,IF(AND(总览!$D$11&lt;&gt;"",B60*100+VALUE(LEFT(C60,LEN(C60)-1))&gt;=总览!$D$11),总览!$E$11,总览!$B$11)))))</f>
        <v/>
      </c>
      <c r="J60" s="36">
        <f>IF(OR(B60&gt;2027,AND(B60=2027,VALUE(LEFT(C60,LEN(C60)-1))&gt;=9)),IF(AND(总览!$L$12&lt;&gt;"",B60*100+VALUE(LEFT(C60,LEN(C60)-1))&gt;=总览!$L$12),总览!$M$12,IF(AND(总览!$J$12&lt;&gt;"",B60*100+VALUE(LEFT(C60,LEN(C60)-1))&gt;=总览!$J$12),总览!$K$12,IF(AND(总览!$H$12&lt;&gt;"",B60*100+VALUE(LEFT(C60,LEN(C60)-1))&gt;=总览!$H$12),总览!$I$12,IF(AND(总览!$F$12&lt;&gt;"",B60*100+VALUE(LEFT(C60,LEN(C60)-1))&gt;=总览!$F$12),总览!$G$12,IF(AND(总览!$D$12&lt;&gt;"",B60*100+VALUE(LEFT(C60,LEN(C60)-1))&gt;=总览!$D$12),总览!$E$12,总览!$B$12))))),0)</f>
        <v/>
      </c>
      <c r="K60" s="36">
        <f>IF(AND(B60=2026,C60="5月"),120000,IF(AND(B60=2027,C60="9月"),30000,IF(C60="10月",IF(AND(总览!$L$13&lt;&gt;"",B60*100+VALUE(LEFT(C60,LEN(C60)-1))&gt;=总览!$L$13),总览!$M$13,IF(AND(总览!$J$13&lt;&gt;"",B60*100+VALUE(LEFT(C60,LEN(C60)-1))&gt;=总览!$J$13),总览!$K$13,IF(AND(总览!$H$13&lt;&gt;"",B60*100+VALUE(LEFT(C60,LEN(C60)-1))&gt;=总览!$H$13),总览!$I$13,IF(AND(总览!$F$13&lt;&gt;"",B60*100+VALUE(LEFT(C60,LEN(C60)-1))&gt;=总览!$F$13),总览!$G$13,IF(AND(总览!$D$13&lt;&gt;"",B60*100+VALUE(LEFT(C60,LEN(C60)-1))&gt;=总览!$D$13),总览!$E$13,总览!$B$13))))),0)))</f>
        <v/>
      </c>
      <c r="L60" s="35" t="inlineStr"/>
      <c r="M60" s="36">
        <f>SUM(H60:K60)</f>
        <v/>
      </c>
      <c r="N60" s="36">
        <f>G60-M60</f>
        <v/>
      </c>
      <c r="O60" s="36">
        <f>O59+N60</f>
        <v/>
      </c>
    </row>
    <row r="61">
      <c r="A61" s="31" t="n">
        <v>60</v>
      </c>
      <c r="B61" s="31" t="n">
        <v>2031</v>
      </c>
      <c r="C61" s="31" t="inlineStr">
        <is>
          <t>1月</t>
        </is>
      </c>
      <c r="D61" s="32">
        <f>IF(AND(总览!$L$6&lt;&gt;"",B61*100+VALUE(LEFT(C61,LEN(C61)-1))&gt;=总览!$L$6),总览!$M$6,IF(AND(总览!$J$6&lt;&gt;"",B61*100+VALUE(LEFT(C61,LEN(C61)-1))&gt;=总览!$J$6),总览!$K$6,IF(AND(总览!$H$6&lt;&gt;"",B61*100+VALUE(LEFT(C61,LEN(C61)-1))&gt;=总览!$H$6),总览!$I$6,IF(AND(总览!$F$6&lt;&gt;"",B61*100+VALUE(LEFT(C61,LEN(C61)-1))&gt;=总览!$F$6),总览!$G$6,IF(AND(总览!$D$6&lt;&gt;"",B61*100+VALUE(LEFT(C61,LEN(C61)-1))&gt;=总览!$D$6),总览!$E$6,总览!$B$6)))))</f>
        <v/>
      </c>
      <c r="E61" s="32">
        <f>IF(C61="12月",IF(AND(总览!$L$7&lt;&gt;"",B61*100+VALUE(LEFT(C61,LEN(C61)-1))&gt;=总览!$L$7),总览!$M$7,IF(AND(总览!$J$7&lt;&gt;"",B61*100+VALUE(LEFT(C61,LEN(C61)-1))&gt;=总览!$J$7),总览!$K$7,IF(AND(总览!$H$7&lt;&gt;"",B61*100+VALUE(LEFT(C61,LEN(C61)-1))&gt;=总览!$H$7),总览!$I$7,IF(AND(总览!$F$7&lt;&gt;"",B61*100+VALUE(LEFT(C61,LEN(C61)-1))&gt;=总览!$F$7),总览!$G$7,IF(AND(总览!$D$7&lt;&gt;"",B61*100+VALUE(LEFT(C61,LEN(C61)-1))&gt;=总览!$D$7),总览!$E$7,总览!$B$7))))),0)</f>
        <v/>
      </c>
      <c r="F61" s="32">
        <f>ROUND(O60*总览!$B$14/12,0)</f>
        <v/>
      </c>
      <c r="G61" s="32">
        <f>D61+E61+F61</f>
        <v/>
      </c>
      <c r="H61" s="32">
        <f>IF(OR(B61&gt;2027,AND(B61=2027,VALUE(LEFT(C61,LEN(C61)-1))&gt;=9)),IF(AND(总览!$L$10&lt;&gt;"",B61*100+VALUE(LEFT(C61,LEN(C61)-1))&gt;=总览!$L$10),总览!$M$10,IF(AND(总览!$J$10&lt;&gt;"",B61*100+VALUE(LEFT(C61,LEN(C61)-1))&gt;=总览!$J$10),总览!$K$10,IF(AND(总览!$H$10&lt;&gt;"",B61*100+VALUE(LEFT(C61,LEN(C61)-1))&gt;=总览!$H$10),总览!$I$10,IF(AND(总览!$F$10&lt;&gt;"",B61*100+VALUE(LEFT(C61,LEN(C61)-1))&gt;=总览!$F$10),总览!$G$10,IF(AND(总览!$D$10&lt;&gt;"",B61*100+VALUE(LEFT(C61,LEN(C61)-1))&gt;=总览!$D$10),总览!$E$10,总览!$B$10))))),IF(AND(总览!$L$9&lt;&gt;"",B61*100+VALUE(LEFT(C61,LEN(C61)-1))&gt;=总览!$L$9),总览!$M$9,IF(AND(总览!$J$9&lt;&gt;"",B61*100+VALUE(LEFT(C61,LEN(C61)-1))&gt;=总览!$J$9),总览!$K$9,IF(AND(总览!$H$9&lt;&gt;"",B61*100+VALUE(LEFT(C61,LEN(C61)-1))&gt;=总览!$H$9),总览!$I$9,IF(AND(总览!$F$9&lt;&gt;"",B61*100+VALUE(LEFT(C61,LEN(C61)-1))&gt;=总览!$F$9),总览!$G$9,IF(AND(总览!$D$9&lt;&gt;"",B61*100+VALUE(LEFT(C61,LEN(C61)-1))&gt;=总览!$D$9),总览!$E$9,总览!$B$9))))))</f>
        <v/>
      </c>
      <c r="I61" s="32">
        <f>IF(AND(总览!$L$11&lt;&gt;"",B61*100+VALUE(LEFT(C61,LEN(C61)-1))&gt;=总览!$L$11),总览!$M$11,IF(AND(总览!$J$11&lt;&gt;"",B61*100+VALUE(LEFT(C61,LEN(C61)-1))&gt;=总览!$J$11),总览!$K$11,IF(AND(总览!$H$11&lt;&gt;"",B61*100+VALUE(LEFT(C61,LEN(C61)-1))&gt;=总览!$H$11),总览!$I$11,IF(AND(总览!$F$11&lt;&gt;"",B61*100+VALUE(LEFT(C61,LEN(C61)-1))&gt;=总览!$F$11),总览!$G$11,IF(AND(总览!$D$11&lt;&gt;"",B61*100+VALUE(LEFT(C61,LEN(C61)-1))&gt;=总览!$D$11),总览!$E$11,总览!$B$11)))))</f>
        <v/>
      </c>
      <c r="J61" s="32">
        <f>IF(OR(B61&gt;2027,AND(B61=2027,VALUE(LEFT(C61,LEN(C61)-1))&gt;=9)),IF(AND(总览!$L$12&lt;&gt;"",B61*100+VALUE(LEFT(C61,LEN(C61)-1))&gt;=总览!$L$12),总览!$M$12,IF(AND(总览!$J$12&lt;&gt;"",B61*100+VALUE(LEFT(C61,LEN(C61)-1))&gt;=总览!$J$12),总览!$K$12,IF(AND(总览!$H$12&lt;&gt;"",B61*100+VALUE(LEFT(C61,LEN(C61)-1))&gt;=总览!$H$12),总览!$I$12,IF(AND(总览!$F$12&lt;&gt;"",B61*100+VALUE(LEFT(C61,LEN(C61)-1))&gt;=总览!$F$12),总览!$G$12,IF(AND(总览!$D$12&lt;&gt;"",B61*100+VALUE(LEFT(C61,LEN(C61)-1))&gt;=总览!$D$12),总览!$E$12,总览!$B$12))))),0)</f>
        <v/>
      </c>
      <c r="K61" s="32">
        <f>IF(AND(B61=2026,C61="5月"),120000,IF(AND(B61=2027,C61="9月"),30000,IF(C61="10月",IF(AND(总览!$L$13&lt;&gt;"",B61*100+VALUE(LEFT(C61,LEN(C61)-1))&gt;=总览!$L$13),总览!$M$13,IF(AND(总览!$J$13&lt;&gt;"",B61*100+VALUE(LEFT(C61,LEN(C61)-1))&gt;=总览!$J$13),总览!$K$13,IF(AND(总览!$H$13&lt;&gt;"",B61*100+VALUE(LEFT(C61,LEN(C61)-1))&gt;=总览!$H$13),总览!$I$13,IF(AND(总览!$F$13&lt;&gt;"",B61*100+VALUE(LEFT(C61,LEN(C61)-1))&gt;=总览!$F$13),总览!$G$13,IF(AND(总览!$D$13&lt;&gt;"",B61*100+VALUE(LEFT(C61,LEN(C61)-1))&gt;=总览!$D$13),总览!$E$13,总览!$B$13))))),0)))</f>
        <v/>
      </c>
      <c r="L61" s="31" t="inlineStr"/>
      <c r="M61" s="32">
        <f>SUM(H61:K61)</f>
        <v/>
      </c>
      <c r="N61" s="32">
        <f>G61-M61</f>
        <v/>
      </c>
      <c r="O61" s="32">
        <f>O60+N61</f>
        <v/>
      </c>
    </row>
    <row r="63">
      <c r="A63" s="37" t="inlineStr">
        <is>
          <t>图例说明：</t>
        </is>
      </c>
      <c r="B63" s="38" t="inlineStr">
        <is>
          <t>蓝色=输入值</t>
        </is>
      </c>
      <c r="D63" s="39" t="inlineStr">
        <is>
          <t>黄底=重大支出月</t>
        </is>
      </c>
      <c r="F63" s="40" t="inlineStr">
        <is>
          <t>绿底=年终奖月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5" customWidth="1" min="16" max="16"/>
    <col width="15" customWidth="1" min="17" max="17"/>
    <col width="15" customWidth="1" min="18" max="18"/>
  </cols>
  <sheetData>
    <row r="1" ht="42" customHeight="1">
      <c r="A1" s="29" t="inlineStr">
        <is>
          <t>序号</t>
        </is>
      </c>
      <c r="B1" s="29" t="inlineStr">
        <is>
          <t>年份</t>
        </is>
      </c>
      <c r="C1" s="29" t="inlineStr">
        <is>
          <t>月份</t>
        </is>
      </c>
      <c r="D1" s="29" t="inlineStr">
        <is>
          <t>月收入(元)</t>
        </is>
      </c>
      <c r="E1" s="29" t="inlineStr">
        <is>
          <t>年终奖(元)</t>
        </is>
      </c>
      <c r="F1" s="29" t="inlineStr">
        <is>
          <t>理财收益(元)</t>
        </is>
      </c>
      <c r="G1" s="29" t="inlineStr">
        <is>
          <t>总收入(元)</t>
        </is>
      </c>
      <c r="H1" s="29" t="inlineStr">
        <is>
          <t>房租(元)</t>
        </is>
      </c>
      <c r="I1" s="29" t="inlineStr">
        <is>
          <t>日常开销(元)</t>
        </is>
      </c>
      <c r="J1" s="29" t="inlineStr">
        <is>
          <t>孩子开销(元)</t>
        </is>
      </c>
      <c r="K1" s="29" t="inlineStr">
        <is>
          <t>特殊支出(元)</t>
        </is>
      </c>
      <c r="L1" s="29" t="inlineStr">
        <is>
          <t>特殊说明</t>
        </is>
      </c>
      <c r="M1" s="29" t="inlineStr">
        <is>
          <t>首付支出(元)</t>
        </is>
      </c>
      <c r="N1" s="29" t="inlineStr">
        <is>
          <t>房贷月供(元)</t>
        </is>
      </c>
      <c r="O1" s="29" t="inlineStr">
        <is>
          <t>总支出(元)</t>
        </is>
      </c>
      <c r="P1" s="29" t="inlineStr">
        <is>
          <t>当月净储蓄(元)</t>
        </is>
      </c>
      <c r="Q1" s="29" t="inlineStr">
        <is>
          <t>累计储蓄(元)</t>
        </is>
      </c>
      <c r="R1" s="29" t="inlineStr">
        <is>
          <t>房贷剩余(元)</t>
        </is>
      </c>
    </row>
    <row r="2">
      <c r="A2" s="30" t="n">
        <v>1</v>
      </c>
      <c r="B2" s="30" t="n">
        <v>2026</v>
      </c>
      <c r="C2" s="30" t="inlineStr">
        <is>
          <t>2月</t>
        </is>
      </c>
      <c r="D2" s="11">
        <f>IF(AND(总览!$L$6&lt;&gt;"",B2*100+VALUE(LEFT(C2,LEN(C2)-1))&gt;=总览!$L$6),总览!$M$6,IF(AND(总览!$J$6&lt;&gt;"",B2*100+VALUE(LEFT(C2,LEN(C2)-1))&gt;=总览!$J$6),总览!$K$6,IF(AND(总览!$H$6&lt;&gt;"",B2*100+VALUE(LEFT(C2,LEN(C2)-1))&gt;=总览!$H$6),总览!$I$6,IF(AND(总览!$F$6&lt;&gt;"",B2*100+VALUE(LEFT(C2,LEN(C2)-1))&gt;=总览!$F$6),总览!$G$6,IF(AND(总览!$D$6&lt;&gt;"",B2*100+VALUE(LEFT(C2,LEN(C2)-1))&gt;=总览!$D$6),总览!$E$6,总览!$B$6)))))</f>
        <v/>
      </c>
      <c r="E2" s="11">
        <f>IF(C2="12月",IF(AND(总览!$L$7&lt;&gt;"",B2*100+VALUE(LEFT(C2,LEN(C2)-1))&gt;=总览!$L$7),总览!$M$7,IF(AND(总览!$J$7&lt;&gt;"",B2*100+VALUE(LEFT(C2,LEN(C2)-1))&gt;=总览!$J$7),总览!$K$7,IF(AND(总览!$H$7&lt;&gt;"",B2*100+VALUE(LEFT(C2,LEN(C2)-1))&gt;=总览!$H$7),总览!$I$7,IF(AND(总览!$F$7&lt;&gt;"",B2*100+VALUE(LEFT(C2,LEN(C2)-1))&gt;=总览!$F$7),总览!$G$7,IF(AND(总览!$D$7&lt;&gt;"",B2*100+VALUE(LEFT(C2,LEN(C2)-1))&gt;=总览!$D$7),总览!$E$7,总览!$B$7))))),0)</f>
        <v/>
      </c>
      <c r="F2" s="11">
        <f>ROUND(总览!$B$8*总览!$B$14/12,0)</f>
        <v/>
      </c>
      <c r="G2" s="11">
        <f>D2+E2+F2</f>
        <v/>
      </c>
      <c r="H2" s="11">
        <f>IF(OR(B2&gt;2027,AND(B2=2027,VALUE(LEFT(C2,LEN(C2)-1))&gt;=9)),IF(AND(总览!$L$10&lt;&gt;"",B2*100+VALUE(LEFT(C2,LEN(C2)-1))&gt;=总览!$L$10),总览!$M$10,IF(AND(总览!$J$10&lt;&gt;"",B2*100+VALUE(LEFT(C2,LEN(C2)-1))&gt;=总览!$J$10),总览!$K$10,IF(AND(总览!$H$10&lt;&gt;"",B2*100+VALUE(LEFT(C2,LEN(C2)-1))&gt;=总览!$H$10),总览!$I$10,IF(AND(总览!$F$10&lt;&gt;"",B2*100+VALUE(LEFT(C2,LEN(C2)-1))&gt;=总览!$F$10),总览!$G$10,IF(AND(总览!$D$10&lt;&gt;"",B2*100+VALUE(LEFT(C2,LEN(C2)-1))&gt;=总览!$D$10),总览!$E$10,总览!$B$10))))),IF(AND(总览!$L$9&lt;&gt;"",B2*100+VALUE(LEFT(C2,LEN(C2)-1))&gt;=总览!$L$9),总览!$M$9,IF(AND(总览!$J$9&lt;&gt;"",B2*100+VALUE(LEFT(C2,LEN(C2)-1))&gt;=总览!$J$9),总览!$K$9,IF(AND(总览!$H$9&lt;&gt;"",B2*100+VALUE(LEFT(C2,LEN(C2)-1))&gt;=总览!$H$9),总览!$I$9,IF(AND(总览!$F$9&lt;&gt;"",B2*100+VALUE(LEFT(C2,LEN(C2)-1))&gt;=总览!$F$9),总览!$G$9,IF(AND(总览!$D$9&lt;&gt;"",B2*100+VALUE(LEFT(C2,LEN(C2)-1))&gt;=总览!$D$9),总览!$E$9,总览!$B$9))))))</f>
        <v/>
      </c>
      <c r="I2" s="11">
        <f>IF(AND(总览!$L$11&lt;&gt;"",B2*100+VALUE(LEFT(C2,LEN(C2)-1))&gt;=总览!$L$11),总览!$M$11,IF(AND(总览!$J$11&lt;&gt;"",B2*100+VALUE(LEFT(C2,LEN(C2)-1))&gt;=总览!$J$11),总览!$K$11,IF(AND(总览!$H$11&lt;&gt;"",B2*100+VALUE(LEFT(C2,LEN(C2)-1))&gt;=总览!$H$11),总览!$I$11,IF(AND(总览!$F$11&lt;&gt;"",B2*100+VALUE(LEFT(C2,LEN(C2)-1))&gt;=总览!$F$11),总览!$G$11,IF(AND(总览!$D$11&lt;&gt;"",B2*100+VALUE(LEFT(C2,LEN(C2)-1))&gt;=总览!$D$11),总览!$E$11,总览!$B$11)))))</f>
        <v/>
      </c>
      <c r="J2" s="11">
        <f>IF(OR(B2&gt;2027,AND(B2=2027,VALUE(LEFT(C2,LEN(C2)-1))&gt;=9)),IF(AND(总览!$L$12&lt;&gt;"",B2*100+VALUE(LEFT(C2,LEN(C2)-1))&gt;=总览!$L$12),总览!$M$12,IF(AND(总览!$J$12&lt;&gt;"",B2*100+VALUE(LEFT(C2,LEN(C2)-1))&gt;=总览!$J$12),总览!$K$12,IF(AND(总览!$H$12&lt;&gt;"",B2*100+VALUE(LEFT(C2,LEN(C2)-1))&gt;=总览!$H$12),总览!$I$12,IF(AND(总览!$F$12&lt;&gt;"",B2*100+VALUE(LEFT(C2,LEN(C2)-1))&gt;=总览!$F$12),总览!$G$12,IF(AND(总览!$D$12&lt;&gt;"",B2*100+VALUE(LEFT(C2,LEN(C2)-1))&gt;=总览!$D$12),总览!$E$12,总览!$B$12))))),0)</f>
        <v/>
      </c>
      <c r="K2" s="11">
        <f>IF(AND(B2=2026,C2="5月"),120000,IF(AND(B2=2027,C2="9月"),30000,IF(C2="10月",IF(AND(总览!$L$13&lt;&gt;"",B2*100+VALUE(LEFT(C2,LEN(C2)-1))&gt;=总览!$L$13),总览!$M$13,IF(AND(总览!$J$13&lt;&gt;"",B2*100+VALUE(LEFT(C2,LEN(C2)-1))&gt;=总览!$J$13),总览!$K$13,IF(AND(总览!$H$13&lt;&gt;"",B2*100+VALUE(LEFT(C2,LEN(C2)-1))&gt;=总览!$H$13),总览!$I$13,IF(AND(总览!$F$13&lt;&gt;"",B2*100+VALUE(LEFT(C2,LEN(C2)-1))&gt;=总览!$F$13),总览!$G$13,IF(AND(总览!$D$13&lt;&gt;"",B2*100+VALUE(LEFT(C2,LEN(C2)-1))&gt;=总览!$D$13),总览!$E$13,总览!$B$13))))),0)))</f>
        <v/>
      </c>
      <c r="L2" s="30" t="inlineStr"/>
      <c r="M2" s="11">
        <f>IF(B2*100+VALUE(LEFT(C2,LEN(C2)-1))=总览!$B$18,总览!$B$23,0)</f>
        <v/>
      </c>
      <c r="N2" s="11">
        <f>IF(B2*100+VALUE(LEFT(C2,LEN(C2)-1))&gt;总览!$B$18,总览!$B$25,0)</f>
        <v/>
      </c>
      <c r="O2" s="11">
        <f>SUM(H2:J2)+K2+M2+N2</f>
        <v/>
      </c>
      <c r="P2" s="11">
        <f>G2-O2</f>
        <v/>
      </c>
      <c r="Q2" s="11">
        <f>总览!$B$8+P2</f>
        <v/>
      </c>
      <c r="R2" s="11">
        <f>IF(B2*100+VALUE(LEFT(C2,LEN(C2)-1))&lt;总览!$B$18,0,IF(B2*100+VALUE(LEFT(C2,LEN(C2)-1))=总览!$B$18,总览!$B$24,总览!$B$24))</f>
        <v/>
      </c>
    </row>
    <row r="3">
      <c r="A3" s="31" t="n">
        <v>2</v>
      </c>
      <c r="B3" s="31" t="n">
        <v>2026</v>
      </c>
      <c r="C3" s="31" t="inlineStr">
        <is>
          <t>3月</t>
        </is>
      </c>
      <c r="D3" s="32">
        <f>IF(AND(总览!$L$6&lt;&gt;"",B3*100+VALUE(LEFT(C3,LEN(C3)-1))&gt;=总览!$L$6),总览!$M$6,IF(AND(总览!$J$6&lt;&gt;"",B3*100+VALUE(LEFT(C3,LEN(C3)-1))&gt;=总览!$J$6),总览!$K$6,IF(AND(总览!$H$6&lt;&gt;"",B3*100+VALUE(LEFT(C3,LEN(C3)-1))&gt;=总览!$H$6),总览!$I$6,IF(AND(总览!$F$6&lt;&gt;"",B3*100+VALUE(LEFT(C3,LEN(C3)-1))&gt;=总览!$F$6),总览!$G$6,IF(AND(总览!$D$6&lt;&gt;"",B3*100+VALUE(LEFT(C3,LEN(C3)-1))&gt;=总览!$D$6),总览!$E$6,总览!$B$6)))))</f>
        <v/>
      </c>
      <c r="E3" s="32">
        <f>IF(C3="12月",IF(AND(总览!$L$7&lt;&gt;"",B3*100+VALUE(LEFT(C3,LEN(C3)-1))&gt;=总览!$L$7),总览!$M$7,IF(AND(总览!$J$7&lt;&gt;"",B3*100+VALUE(LEFT(C3,LEN(C3)-1))&gt;=总览!$J$7),总览!$K$7,IF(AND(总览!$H$7&lt;&gt;"",B3*100+VALUE(LEFT(C3,LEN(C3)-1))&gt;=总览!$H$7),总览!$I$7,IF(AND(总览!$F$7&lt;&gt;"",B3*100+VALUE(LEFT(C3,LEN(C3)-1))&gt;=总览!$F$7),总览!$G$7,IF(AND(总览!$D$7&lt;&gt;"",B3*100+VALUE(LEFT(C3,LEN(C3)-1))&gt;=总览!$D$7),总览!$E$7,总览!$B$7))))),0)</f>
        <v/>
      </c>
      <c r="F3" s="32">
        <f>ROUND(Q2*总览!$B$14/12,0)</f>
        <v/>
      </c>
      <c r="G3" s="32">
        <f>D3+E3+F3</f>
        <v/>
      </c>
      <c r="H3" s="32">
        <f>IF(OR(B3&gt;2027,AND(B3=2027,VALUE(LEFT(C3,LEN(C3)-1))&gt;=9)),IF(AND(总览!$L$10&lt;&gt;"",B3*100+VALUE(LEFT(C3,LEN(C3)-1))&gt;=总览!$L$10),总览!$M$10,IF(AND(总览!$J$10&lt;&gt;"",B3*100+VALUE(LEFT(C3,LEN(C3)-1))&gt;=总览!$J$10),总览!$K$10,IF(AND(总览!$H$10&lt;&gt;"",B3*100+VALUE(LEFT(C3,LEN(C3)-1))&gt;=总览!$H$10),总览!$I$10,IF(AND(总览!$F$10&lt;&gt;"",B3*100+VALUE(LEFT(C3,LEN(C3)-1))&gt;=总览!$F$10),总览!$G$10,IF(AND(总览!$D$10&lt;&gt;"",B3*100+VALUE(LEFT(C3,LEN(C3)-1))&gt;=总览!$D$10),总览!$E$10,总览!$B$10))))),IF(AND(总览!$L$9&lt;&gt;"",B3*100+VALUE(LEFT(C3,LEN(C3)-1))&gt;=总览!$L$9),总览!$M$9,IF(AND(总览!$J$9&lt;&gt;"",B3*100+VALUE(LEFT(C3,LEN(C3)-1))&gt;=总览!$J$9),总览!$K$9,IF(AND(总览!$H$9&lt;&gt;"",B3*100+VALUE(LEFT(C3,LEN(C3)-1))&gt;=总览!$H$9),总览!$I$9,IF(AND(总览!$F$9&lt;&gt;"",B3*100+VALUE(LEFT(C3,LEN(C3)-1))&gt;=总览!$F$9),总览!$G$9,IF(AND(总览!$D$9&lt;&gt;"",B3*100+VALUE(LEFT(C3,LEN(C3)-1))&gt;=总览!$D$9),总览!$E$9,总览!$B$9))))))</f>
        <v/>
      </c>
      <c r="I3" s="32">
        <f>IF(AND(总览!$L$11&lt;&gt;"",B3*100+VALUE(LEFT(C3,LEN(C3)-1))&gt;=总览!$L$11),总览!$M$11,IF(AND(总览!$J$11&lt;&gt;"",B3*100+VALUE(LEFT(C3,LEN(C3)-1))&gt;=总览!$J$11),总览!$K$11,IF(AND(总览!$H$11&lt;&gt;"",B3*100+VALUE(LEFT(C3,LEN(C3)-1))&gt;=总览!$H$11),总览!$I$11,IF(AND(总览!$F$11&lt;&gt;"",B3*100+VALUE(LEFT(C3,LEN(C3)-1))&gt;=总览!$F$11),总览!$G$11,IF(AND(总览!$D$11&lt;&gt;"",B3*100+VALUE(LEFT(C3,LEN(C3)-1))&gt;=总览!$D$11),总览!$E$11,总览!$B$11)))))</f>
        <v/>
      </c>
      <c r="J3" s="32">
        <f>IF(OR(B3&gt;2027,AND(B3=2027,VALUE(LEFT(C3,LEN(C3)-1))&gt;=9)),IF(AND(总览!$L$12&lt;&gt;"",B3*100+VALUE(LEFT(C3,LEN(C3)-1))&gt;=总览!$L$12),总览!$M$12,IF(AND(总览!$J$12&lt;&gt;"",B3*100+VALUE(LEFT(C3,LEN(C3)-1))&gt;=总览!$J$12),总览!$K$12,IF(AND(总览!$H$12&lt;&gt;"",B3*100+VALUE(LEFT(C3,LEN(C3)-1))&gt;=总览!$H$12),总览!$I$12,IF(AND(总览!$F$12&lt;&gt;"",B3*100+VALUE(LEFT(C3,LEN(C3)-1))&gt;=总览!$F$12),总览!$G$12,IF(AND(总览!$D$12&lt;&gt;"",B3*100+VALUE(LEFT(C3,LEN(C3)-1))&gt;=总览!$D$12),总览!$E$12,总览!$B$12))))),0)</f>
        <v/>
      </c>
      <c r="K3" s="32">
        <f>IF(AND(B3=2026,C3="5月"),120000,IF(AND(B3=2027,C3="9月"),30000,IF(C3="10月",IF(AND(总览!$L$13&lt;&gt;"",B3*100+VALUE(LEFT(C3,LEN(C3)-1))&gt;=总览!$L$13),总览!$M$13,IF(AND(总览!$J$13&lt;&gt;"",B3*100+VALUE(LEFT(C3,LEN(C3)-1))&gt;=总览!$J$13),总览!$K$13,IF(AND(总览!$H$13&lt;&gt;"",B3*100+VALUE(LEFT(C3,LEN(C3)-1))&gt;=总览!$H$13),总览!$I$13,IF(AND(总览!$F$13&lt;&gt;"",B3*100+VALUE(LEFT(C3,LEN(C3)-1))&gt;=总览!$F$13),总览!$G$13,IF(AND(总览!$D$13&lt;&gt;"",B3*100+VALUE(LEFT(C3,LEN(C3)-1))&gt;=总览!$D$13),总览!$E$13,总览!$B$13))))),0)))</f>
        <v/>
      </c>
      <c r="L3" s="31" t="inlineStr"/>
      <c r="M3" s="32">
        <f>IF(B3*100+VALUE(LEFT(C3,LEN(C3)-1))=总览!$B$18,总览!$B$23,0)</f>
        <v/>
      </c>
      <c r="N3" s="32">
        <f>IF(B3*100+VALUE(LEFT(C3,LEN(C3)-1))&gt;总览!$B$18,总览!$B$25,0)</f>
        <v/>
      </c>
      <c r="O3" s="32">
        <f>SUM(H3:J3)+K3+M3+N3</f>
        <v/>
      </c>
      <c r="P3" s="32">
        <f>G3-O3</f>
        <v/>
      </c>
      <c r="Q3" s="32">
        <f>Q2+P3</f>
        <v/>
      </c>
      <c r="R3" s="32">
        <f>IF(B3*100+VALUE(LEFT(C3,LEN(C3)-1))&lt;总览!$B$18,0,IF(B3*100+VALUE(LEFT(C3,LEN(C3)-1))=总览!$B$18,总览!$B$24,R2-(总览!$B$25-R2*总览!$B$22/12)))</f>
        <v/>
      </c>
    </row>
    <row r="4">
      <c r="A4" s="30" t="n">
        <v>3</v>
      </c>
      <c r="B4" s="30" t="n">
        <v>2026</v>
      </c>
      <c r="C4" s="30" t="inlineStr">
        <is>
          <t>4月</t>
        </is>
      </c>
      <c r="D4" s="11">
        <f>IF(AND(总览!$L$6&lt;&gt;"",B4*100+VALUE(LEFT(C4,LEN(C4)-1))&gt;=总览!$L$6),总览!$M$6,IF(AND(总览!$J$6&lt;&gt;"",B4*100+VALUE(LEFT(C4,LEN(C4)-1))&gt;=总览!$J$6),总览!$K$6,IF(AND(总览!$H$6&lt;&gt;"",B4*100+VALUE(LEFT(C4,LEN(C4)-1))&gt;=总览!$H$6),总览!$I$6,IF(AND(总览!$F$6&lt;&gt;"",B4*100+VALUE(LEFT(C4,LEN(C4)-1))&gt;=总览!$F$6),总览!$G$6,IF(AND(总览!$D$6&lt;&gt;"",B4*100+VALUE(LEFT(C4,LEN(C4)-1))&gt;=总览!$D$6),总览!$E$6,总览!$B$6)))))</f>
        <v/>
      </c>
      <c r="E4" s="11">
        <f>IF(C4="12月",IF(AND(总览!$L$7&lt;&gt;"",B4*100+VALUE(LEFT(C4,LEN(C4)-1))&gt;=总览!$L$7),总览!$M$7,IF(AND(总览!$J$7&lt;&gt;"",B4*100+VALUE(LEFT(C4,LEN(C4)-1))&gt;=总览!$J$7),总览!$K$7,IF(AND(总览!$H$7&lt;&gt;"",B4*100+VALUE(LEFT(C4,LEN(C4)-1))&gt;=总览!$H$7),总览!$I$7,IF(AND(总览!$F$7&lt;&gt;"",B4*100+VALUE(LEFT(C4,LEN(C4)-1))&gt;=总览!$F$7),总览!$G$7,IF(AND(总览!$D$7&lt;&gt;"",B4*100+VALUE(LEFT(C4,LEN(C4)-1))&gt;=总览!$D$7),总览!$E$7,总览!$B$7))))),0)</f>
        <v/>
      </c>
      <c r="F4" s="11">
        <f>ROUND(Q3*总览!$B$14/12,0)</f>
        <v/>
      </c>
      <c r="G4" s="11">
        <f>D4+E4+F4</f>
        <v/>
      </c>
      <c r="H4" s="11">
        <f>IF(OR(B4&gt;2027,AND(B4=2027,VALUE(LEFT(C4,LEN(C4)-1))&gt;=9)),IF(AND(总览!$L$10&lt;&gt;"",B4*100+VALUE(LEFT(C4,LEN(C4)-1))&gt;=总览!$L$10),总览!$M$10,IF(AND(总览!$J$10&lt;&gt;"",B4*100+VALUE(LEFT(C4,LEN(C4)-1))&gt;=总览!$J$10),总览!$K$10,IF(AND(总览!$H$10&lt;&gt;"",B4*100+VALUE(LEFT(C4,LEN(C4)-1))&gt;=总览!$H$10),总览!$I$10,IF(AND(总览!$F$10&lt;&gt;"",B4*100+VALUE(LEFT(C4,LEN(C4)-1))&gt;=总览!$F$10),总览!$G$10,IF(AND(总览!$D$10&lt;&gt;"",B4*100+VALUE(LEFT(C4,LEN(C4)-1))&gt;=总览!$D$10),总览!$E$10,总览!$B$10))))),IF(AND(总览!$L$9&lt;&gt;"",B4*100+VALUE(LEFT(C4,LEN(C4)-1))&gt;=总览!$L$9),总览!$M$9,IF(AND(总览!$J$9&lt;&gt;"",B4*100+VALUE(LEFT(C4,LEN(C4)-1))&gt;=总览!$J$9),总览!$K$9,IF(AND(总览!$H$9&lt;&gt;"",B4*100+VALUE(LEFT(C4,LEN(C4)-1))&gt;=总览!$H$9),总览!$I$9,IF(AND(总览!$F$9&lt;&gt;"",B4*100+VALUE(LEFT(C4,LEN(C4)-1))&gt;=总览!$F$9),总览!$G$9,IF(AND(总览!$D$9&lt;&gt;"",B4*100+VALUE(LEFT(C4,LEN(C4)-1))&gt;=总览!$D$9),总览!$E$9,总览!$B$9))))))</f>
        <v/>
      </c>
      <c r="I4" s="11">
        <f>IF(AND(总览!$L$11&lt;&gt;"",B4*100+VALUE(LEFT(C4,LEN(C4)-1))&gt;=总览!$L$11),总览!$M$11,IF(AND(总览!$J$11&lt;&gt;"",B4*100+VALUE(LEFT(C4,LEN(C4)-1))&gt;=总览!$J$11),总览!$K$11,IF(AND(总览!$H$11&lt;&gt;"",B4*100+VALUE(LEFT(C4,LEN(C4)-1))&gt;=总览!$H$11),总览!$I$11,IF(AND(总览!$F$11&lt;&gt;"",B4*100+VALUE(LEFT(C4,LEN(C4)-1))&gt;=总览!$F$11),总览!$G$11,IF(AND(总览!$D$11&lt;&gt;"",B4*100+VALUE(LEFT(C4,LEN(C4)-1))&gt;=总览!$D$11),总览!$E$11,总览!$B$11)))))</f>
        <v/>
      </c>
      <c r="J4" s="11">
        <f>IF(OR(B4&gt;2027,AND(B4=2027,VALUE(LEFT(C4,LEN(C4)-1))&gt;=9)),IF(AND(总览!$L$12&lt;&gt;"",B4*100+VALUE(LEFT(C4,LEN(C4)-1))&gt;=总览!$L$12),总览!$M$12,IF(AND(总览!$J$12&lt;&gt;"",B4*100+VALUE(LEFT(C4,LEN(C4)-1))&gt;=总览!$J$12),总览!$K$12,IF(AND(总览!$H$12&lt;&gt;"",B4*100+VALUE(LEFT(C4,LEN(C4)-1))&gt;=总览!$H$12),总览!$I$12,IF(AND(总览!$F$12&lt;&gt;"",B4*100+VALUE(LEFT(C4,LEN(C4)-1))&gt;=总览!$F$12),总览!$G$12,IF(AND(总览!$D$12&lt;&gt;"",B4*100+VALUE(LEFT(C4,LEN(C4)-1))&gt;=总览!$D$12),总览!$E$12,总览!$B$12))))),0)</f>
        <v/>
      </c>
      <c r="K4" s="11">
        <f>IF(AND(B4=2026,C4="5月"),120000,IF(AND(B4=2027,C4="9月"),30000,IF(C4="10月",IF(AND(总览!$L$13&lt;&gt;"",B4*100+VALUE(LEFT(C4,LEN(C4)-1))&gt;=总览!$L$13),总览!$M$13,IF(AND(总览!$J$13&lt;&gt;"",B4*100+VALUE(LEFT(C4,LEN(C4)-1))&gt;=总览!$J$13),总览!$K$13,IF(AND(总览!$H$13&lt;&gt;"",B4*100+VALUE(LEFT(C4,LEN(C4)-1))&gt;=总览!$H$13),总览!$I$13,IF(AND(总览!$F$13&lt;&gt;"",B4*100+VALUE(LEFT(C4,LEN(C4)-1))&gt;=总览!$F$13),总览!$G$13,IF(AND(总览!$D$13&lt;&gt;"",B4*100+VALUE(LEFT(C4,LEN(C4)-1))&gt;=总览!$D$13),总览!$E$13,总览!$B$13))))),0)))</f>
        <v/>
      </c>
      <c r="L4" s="30" t="inlineStr"/>
      <c r="M4" s="11">
        <f>IF(B4*100+VALUE(LEFT(C4,LEN(C4)-1))=总览!$B$18,总览!$B$23,0)</f>
        <v/>
      </c>
      <c r="N4" s="11">
        <f>IF(B4*100+VALUE(LEFT(C4,LEN(C4)-1))&gt;总览!$B$18,总览!$B$25,0)</f>
        <v/>
      </c>
      <c r="O4" s="11">
        <f>SUM(H4:J4)+K4+M4+N4</f>
        <v/>
      </c>
      <c r="P4" s="11">
        <f>G4-O4</f>
        <v/>
      </c>
      <c r="Q4" s="11">
        <f>Q3+P4</f>
        <v/>
      </c>
      <c r="R4" s="11">
        <f>IF(B4*100+VALUE(LEFT(C4,LEN(C4)-1))&lt;总览!$B$18,0,IF(B4*100+VALUE(LEFT(C4,LEN(C4)-1))=总览!$B$18,总览!$B$24,R3-(总览!$B$25-R3*总览!$B$22/12)))</f>
        <v/>
      </c>
    </row>
    <row r="5">
      <c r="A5" s="33" t="n">
        <v>4</v>
      </c>
      <c r="B5" s="33" t="n">
        <v>2026</v>
      </c>
      <c r="C5" s="33" t="inlineStr">
        <is>
          <t>5月</t>
        </is>
      </c>
      <c r="D5" s="34">
        <f>IF(AND(总览!$L$6&lt;&gt;"",B5*100+VALUE(LEFT(C5,LEN(C5)-1))&gt;=总览!$L$6),总览!$M$6,IF(AND(总览!$J$6&lt;&gt;"",B5*100+VALUE(LEFT(C5,LEN(C5)-1))&gt;=总览!$J$6),总览!$K$6,IF(AND(总览!$H$6&lt;&gt;"",B5*100+VALUE(LEFT(C5,LEN(C5)-1))&gt;=总览!$H$6),总览!$I$6,IF(AND(总览!$F$6&lt;&gt;"",B5*100+VALUE(LEFT(C5,LEN(C5)-1))&gt;=总览!$F$6),总览!$G$6,IF(AND(总览!$D$6&lt;&gt;"",B5*100+VALUE(LEFT(C5,LEN(C5)-1))&gt;=总览!$D$6),总览!$E$6,总览!$B$6)))))</f>
        <v/>
      </c>
      <c r="E5" s="34">
        <f>IF(C5="12月",IF(AND(总览!$L$7&lt;&gt;"",B5*100+VALUE(LEFT(C5,LEN(C5)-1))&gt;=总览!$L$7),总览!$M$7,IF(AND(总览!$J$7&lt;&gt;"",B5*100+VALUE(LEFT(C5,LEN(C5)-1))&gt;=总览!$J$7),总览!$K$7,IF(AND(总览!$H$7&lt;&gt;"",B5*100+VALUE(LEFT(C5,LEN(C5)-1))&gt;=总览!$H$7),总览!$I$7,IF(AND(总览!$F$7&lt;&gt;"",B5*100+VALUE(LEFT(C5,LEN(C5)-1))&gt;=总览!$F$7),总览!$G$7,IF(AND(总览!$D$7&lt;&gt;"",B5*100+VALUE(LEFT(C5,LEN(C5)-1))&gt;=总览!$D$7),总览!$E$7,总览!$B$7))))),0)</f>
        <v/>
      </c>
      <c r="F5" s="34">
        <f>ROUND(Q4*总览!$B$14/12,0)</f>
        <v/>
      </c>
      <c r="G5" s="34">
        <f>D5+E5+F5</f>
        <v/>
      </c>
      <c r="H5" s="34">
        <f>IF(OR(B5&gt;2027,AND(B5=2027,VALUE(LEFT(C5,LEN(C5)-1))&gt;=9)),IF(AND(总览!$L$10&lt;&gt;"",B5*100+VALUE(LEFT(C5,LEN(C5)-1))&gt;=总览!$L$10),总览!$M$10,IF(AND(总览!$J$10&lt;&gt;"",B5*100+VALUE(LEFT(C5,LEN(C5)-1))&gt;=总览!$J$10),总览!$K$10,IF(AND(总览!$H$10&lt;&gt;"",B5*100+VALUE(LEFT(C5,LEN(C5)-1))&gt;=总览!$H$10),总览!$I$10,IF(AND(总览!$F$10&lt;&gt;"",B5*100+VALUE(LEFT(C5,LEN(C5)-1))&gt;=总览!$F$10),总览!$G$10,IF(AND(总览!$D$10&lt;&gt;"",B5*100+VALUE(LEFT(C5,LEN(C5)-1))&gt;=总览!$D$10),总览!$E$10,总览!$B$10))))),IF(AND(总览!$L$9&lt;&gt;"",B5*100+VALUE(LEFT(C5,LEN(C5)-1))&gt;=总览!$L$9),总览!$M$9,IF(AND(总览!$J$9&lt;&gt;"",B5*100+VALUE(LEFT(C5,LEN(C5)-1))&gt;=总览!$J$9),总览!$K$9,IF(AND(总览!$H$9&lt;&gt;"",B5*100+VALUE(LEFT(C5,LEN(C5)-1))&gt;=总览!$H$9),总览!$I$9,IF(AND(总览!$F$9&lt;&gt;"",B5*100+VALUE(LEFT(C5,LEN(C5)-1))&gt;=总览!$F$9),总览!$G$9,IF(AND(总览!$D$9&lt;&gt;"",B5*100+VALUE(LEFT(C5,LEN(C5)-1))&gt;=总览!$D$9),总览!$E$9,总览!$B$9))))))</f>
        <v/>
      </c>
      <c r="I5" s="34">
        <f>IF(AND(总览!$L$11&lt;&gt;"",B5*100+VALUE(LEFT(C5,LEN(C5)-1))&gt;=总览!$L$11),总览!$M$11,IF(AND(总览!$J$11&lt;&gt;"",B5*100+VALUE(LEFT(C5,LEN(C5)-1))&gt;=总览!$J$11),总览!$K$11,IF(AND(总览!$H$11&lt;&gt;"",B5*100+VALUE(LEFT(C5,LEN(C5)-1))&gt;=总览!$H$11),总览!$I$11,IF(AND(总览!$F$11&lt;&gt;"",B5*100+VALUE(LEFT(C5,LEN(C5)-1))&gt;=总览!$F$11),总览!$G$11,IF(AND(总览!$D$11&lt;&gt;"",B5*100+VALUE(LEFT(C5,LEN(C5)-1))&gt;=总览!$D$11),总览!$E$11,总览!$B$11)))))</f>
        <v/>
      </c>
      <c r="J5" s="34">
        <f>IF(OR(B5&gt;2027,AND(B5=2027,VALUE(LEFT(C5,LEN(C5)-1))&gt;=9)),IF(AND(总览!$L$12&lt;&gt;"",B5*100+VALUE(LEFT(C5,LEN(C5)-1))&gt;=总览!$L$12),总览!$M$12,IF(AND(总览!$J$12&lt;&gt;"",B5*100+VALUE(LEFT(C5,LEN(C5)-1))&gt;=总览!$J$12),总览!$K$12,IF(AND(总览!$H$12&lt;&gt;"",B5*100+VALUE(LEFT(C5,LEN(C5)-1))&gt;=总览!$H$12),总览!$I$12,IF(AND(总览!$F$12&lt;&gt;"",B5*100+VALUE(LEFT(C5,LEN(C5)-1))&gt;=总览!$F$12),总览!$G$12,IF(AND(总览!$D$12&lt;&gt;"",B5*100+VALUE(LEFT(C5,LEN(C5)-1))&gt;=总览!$D$12),总览!$E$12,总览!$B$12))))),0)</f>
        <v/>
      </c>
      <c r="K5" s="34">
        <f>IF(AND(B5=2026,C5="5月"),120000,IF(AND(B5=2027,C5="9月"),30000,IF(C5="10月",IF(AND(总览!$L$13&lt;&gt;"",B5*100+VALUE(LEFT(C5,LEN(C5)-1))&gt;=总览!$L$13),总览!$M$13,IF(AND(总览!$J$13&lt;&gt;"",B5*100+VALUE(LEFT(C5,LEN(C5)-1))&gt;=总览!$J$13),总览!$K$13,IF(AND(总览!$H$13&lt;&gt;"",B5*100+VALUE(LEFT(C5,LEN(C5)-1))&gt;=总览!$H$13),总览!$I$13,IF(AND(总览!$F$13&lt;&gt;"",B5*100+VALUE(LEFT(C5,LEN(C5)-1))&gt;=总览!$F$13),总览!$G$13,IF(AND(总览!$D$13&lt;&gt;"",B5*100+VALUE(LEFT(C5,LEN(C5)-1))&gt;=总览!$D$13),总览!$E$13,总览!$B$13))))),0)))</f>
        <v/>
      </c>
      <c r="L5" s="33" t="inlineStr">
        <is>
          <t>结婚支出</t>
        </is>
      </c>
      <c r="M5" s="34">
        <f>IF(B5*100+VALUE(LEFT(C5,LEN(C5)-1))=总览!$B$18,总览!$B$23,0)</f>
        <v/>
      </c>
      <c r="N5" s="34">
        <f>IF(B5*100+VALUE(LEFT(C5,LEN(C5)-1))&gt;总览!$B$18,总览!$B$25,0)</f>
        <v/>
      </c>
      <c r="O5" s="34">
        <f>SUM(H5:J5)+K5+M5+N5</f>
        <v/>
      </c>
      <c r="P5" s="34">
        <f>G5-O5</f>
        <v/>
      </c>
      <c r="Q5" s="34">
        <f>Q4+P5</f>
        <v/>
      </c>
      <c r="R5" s="34">
        <f>IF(B5*100+VALUE(LEFT(C5,LEN(C5)-1))&lt;总览!$B$18,0,IF(B5*100+VALUE(LEFT(C5,LEN(C5)-1))=总览!$B$18,总览!$B$24,R4-(总览!$B$25-R4*总览!$B$22/12)))</f>
        <v/>
      </c>
    </row>
    <row r="6">
      <c r="A6" s="30" t="n">
        <v>5</v>
      </c>
      <c r="B6" s="30" t="n">
        <v>2026</v>
      </c>
      <c r="C6" s="30" t="inlineStr">
        <is>
          <t>6月</t>
        </is>
      </c>
      <c r="D6" s="11">
        <f>IF(AND(总览!$L$6&lt;&gt;"",B6*100+VALUE(LEFT(C6,LEN(C6)-1))&gt;=总览!$L$6),总览!$M$6,IF(AND(总览!$J$6&lt;&gt;"",B6*100+VALUE(LEFT(C6,LEN(C6)-1))&gt;=总览!$J$6),总览!$K$6,IF(AND(总览!$H$6&lt;&gt;"",B6*100+VALUE(LEFT(C6,LEN(C6)-1))&gt;=总览!$H$6),总览!$I$6,IF(AND(总览!$F$6&lt;&gt;"",B6*100+VALUE(LEFT(C6,LEN(C6)-1))&gt;=总览!$F$6),总览!$G$6,IF(AND(总览!$D$6&lt;&gt;"",B6*100+VALUE(LEFT(C6,LEN(C6)-1))&gt;=总览!$D$6),总览!$E$6,总览!$B$6)))))</f>
        <v/>
      </c>
      <c r="E6" s="11">
        <f>IF(C6="12月",IF(AND(总览!$L$7&lt;&gt;"",B6*100+VALUE(LEFT(C6,LEN(C6)-1))&gt;=总览!$L$7),总览!$M$7,IF(AND(总览!$J$7&lt;&gt;"",B6*100+VALUE(LEFT(C6,LEN(C6)-1))&gt;=总览!$J$7),总览!$K$7,IF(AND(总览!$H$7&lt;&gt;"",B6*100+VALUE(LEFT(C6,LEN(C6)-1))&gt;=总览!$H$7),总览!$I$7,IF(AND(总览!$F$7&lt;&gt;"",B6*100+VALUE(LEFT(C6,LEN(C6)-1))&gt;=总览!$F$7),总览!$G$7,IF(AND(总览!$D$7&lt;&gt;"",B6*100+VALUE(LEFT(C6,LEN(C6)-1))&gt;=总览!$D$7),总览!$E$7,总览!$B$7))))),0)</f>
        <v/>
      </c>
      <c r="F6" s="11">
        <f>ROUND(Q5*总览!$B$14/12,0)</f>
        <v/>
      </c>
      <c r="G6" s="11">
        <f>D6+E6+F6</f>
        <v/>
      </c>
      <c r="H6" s="11">
        <f>IF(OR(B6&gt;2027,AND(B6=2027,VALUE(LEFT(C6,LEN(C6)-1))&gt;=9)),IF(AND(总览!$L$10&lt;&gt;"",B6*100+VALUE(LEFT(C6,LEN(C6)-1))&gt;=总览!$L$10),总览!$M$10,IF(AND(总览!$J$10&lt;&gt;"",B6*100+VALUE(LEFT(C6,LEN(C6)-1))&gt;=总览!$J$10),总览!$K$10,IF(AND(总览!$H$10&lt;&gt;"",B6*100+VALUE(LEFT(C6,LEN(C6)-1))&gt;=总览!$H$10),总览!$I$10,IF(AND(总览!$F$10&lt;&gt;"",B6*100+VALUE(LEFT(C6,LEN(C6)-1))&gt;=总览!$F$10),总览!$G$10,IF(AND(总览!$D$10&lt;&gt;"",B6*100+VALUE(LEFT(C6,LEN(C6)-1))&gt;=总览!$D$10),总览!$E$10,总览!$B$10))))),IF(AND(总览!$L$9&lt;&gt;"",B6*100+VALUE(LEFT(C6,LEN(C6)-1))&gt;=总览!$L$9),总览!$M$9,IF(AND(总览!$J$9&lt;&gt;"",B6*100+VALUE(LEFT(C6,LEN(C6)-1))&gt;=总览!$J$9),总览!$K$9,IF(AND(总览!$H$9&lt;&gt;"",B6*100+VALUE(LEFT(C6,LEN(C6)-1))&gt;=总览!$H$9),总览!$I$9,IF(AND(总览!$F$9&lt;&gt;"",B6*100+VALUE(LEFT(C6,LEN(C6)-1))&gt;=总览!$F$9),总览!$G$9,IF(AND(总览!$D$9&lt;&gt;"",B6*100+VALUE(LEFT(C6,LEN(C6)-1))&gt;=总览!$D$9),总览!$E$9,总览!$B$9))))))</f>
        <v/>
      </c>
      <c r="I6" s="11">
        <f>IF(AND(总览!$L$11&lt;&gt;"",B6*100+VALUE(LEFT(C6,LEN(C6)-1))&gt;=总览!$L$11),总览!$M$11,IF(AND(总览!$J$11&lt;&gt;"",B6*100+VALUE(LEFT(C6,LEN(C6)-1))&gt;=总览!$J$11),总览!$K$11,IF(AND(总览!$H$11&lt;&gt;"",B6*100+VALUE(LEFT(C6,LEN(C6)-1))&gt;=总览!$H$11),总览!$I$11,IF(AND(总览!$F$11&lt;&gt;"",B6*100+VALUE(LEFT(C6,LEN(C6)-1))&gt;=总览!$F$11),总览!$G$11,IF(AND(总览!$D$11&lt;&gt;"",B6*100+VALUE(LEFT(C6,LEN(C6)-1))&gt;=总览!$D$11),总览!$E$11,总览!$B$11)))))</f>
        <v/>
      </c>
      <c r="J6" s="11">
        <f>IF(OR(B6&gt;2027,AND(B6=2027,VALUE(LEFT(C6,LEN(C6)-1))&gt;=9)),IF(AND(总览!$L$12&lt;&gt;"",B6*100+VALUE(LEFT(C6,LEN(C6)-1))&gt;=总览!$L$12),总览!$M$12,IF(AND(总览!$J$12&lt;&gt;"",B6*100+VALUE(LEFT(C6,LEN(C6)-1))&gt;=总览!$J$12),总览!$K$12,IF(AND(总览!$H$12&lt;&gt;"",B6*100+VALUE(LEFT(C6,LEN(C6)-1))&gt;=总览!$H$12),总览!$I$12,IF(AND(总览!$F$12&lt;&gt;"",B6*100+VALUE(LEFT(C6,LEN(C6)-1))&gt;=总览!$F$12),总览!$G$12,IF(AND(总览!$D$12&lt;&gt;"",B6*100+VALUE(LEFT(C6,LEN(C6)-1))&gt;=总览!$D$12),总览!$E$12,总览!$B$12))))),0)</f>
        <v/>
      </c>
      <c r="K6" s="11">
        <f>IF(AND(B6=2026,C6="5月"),120000,IF(AND(B6=2027,C6="9月"),30000,IF(C6="10月",IF(AND(总览!$L$13&lt;&gt;"",B6*100+VALUE(LEFT(C6,LEN(C6)-1))&gt;=总览!$L$13),总览!$M$13,IF(AND(总览!$J$13&lt;&gt;"",B6*100+VALUE(LEFT(C6,LEN(C6)-1))&gt;=总览!$J$13),总览!$K$13,IF(AND(总览!$H$13&lt;&gt;"",B6*100+VALUE(LEFT(C6,LEN(C6)-1))&gt;=总览!$H$13),总览!$I$13,IF(AND(总览!$F$13&lt;&gt;"",B6*100+VALUE(LEFT(C6,LEN(C6)-1))&gt;=总览!$F$13),总览!$G$13,IF(AND(总览!$D$13&lt;&gt;"",B6*100+VALUE(LEFT(C6,LEN(C6)-1))&gt;=总览!$D$13),总览!$E$13,总览!$B$13))))),0)))</f>
        <v/>
      </c>
      <c r="L6" s="30" t="inlineStr"/>
      <c r="M6" s="11">
        <f>IF(B6*100+VALUE(LEFT(C6,LEN(C6)-1))=总览!$B$18,总览!$B$23,0)</f>
        <v/>
      </c>
      <c r="N6" s="11">
        <f>IF(B6*100+VALUE(LEFT(C6,LEN(C6)-1))&gt;总览!$B$18,总览!$B$25,0)</f>
        <v/>
      </c>
      <c r="O6" s="11">
        <f>SUM(H6:J6)+K6+M6+N6</f>
        <v/>
      </c>
      <c r="P6" s="11">
        <f>G6-O6</f>
        <v/>
      </c>
      <c r="Q6" s="11">
        <f>Q5+P6</f>
        <v/>
      </c>
      <c r="R6" s="11">
        <f>IF(B6*100+VALUE(LEFT(C6,LEN(C6)-1))&lt;总览!$B$18,0,IF(B6*100+VALUE(LEFT(C6,LEN(C6)-1))=总览!$B$18,总览!$B$24,R5-(总览!$B$25-R5*总览!$B$22/12)))</f>
        <v/>
      </c>
    </row>
    <row r="7">
      <c r="A7" s="31" t="n">
        <v>6</v>
      </c>
      <c r="B7" s="31" t="n">
        <v>2026</v>
      </c>
      <c r="C7" s="31" t="inlineStr">
        <is>
          <t>7月</t>
        </is>
      </c>
      <c r="D7" s="32">
        <f>IF(AND(总览!$L$6&lt;&gt;"",B7*100+VALUE(LEFT(C7,LEN(C7)-1))&gt;=总览!$L$6),总览!$M$6,IF(AND(总览!$J$6&lt;&gt;"",B7*100+VALUE(LEFT(C7,LEN(C7)-1))&gt;=总览!$J$6),总览!$K$6,IF(AND(总览!$H$6&lt;&gt;"",B7*100+VALUE(LEFT(C7,LEN(C7)-1))&gt;=总览!$H$6),总览!$I$6,IF(AND(总览!$F$6&lt;&gt;"",B7*100+VALUE(LEFT(C7,LEN(C7)-1))&gt;=总览!$F$6),总览!$G$6,IF(AND(总览!$D$6&lt;&gt;"",B7*100+VALUE(LEFT(C7,LEN(C7)-1))&gt;=总览!$D$6),总览!$E$6,总览!$B$6)))))</f>
        <v/>
      </c>
      <c r="E7" s="32">
        <f>IF(C7="12月",IF(AND(总览!$L$7&lt;&gt;"",B7*100+VALUE(LEFT(C7,LEN(C7)-1))&gt;=总览!$L$7),总览!$M$7,IF(AND(总览!$J$7&lt;&gt;"",B7*100+VALUE(LEFT(C7,LEN(C7)-1))&gt;=总览!$J$7),总览!$K$7,IF(AND(总览!$H$7&lt;&gt;"",B7*100+VALUE(LEFT(C7,LEN(C7)-1))&gt;=总览!$H$7),总览!$I$7,IF(AND(总览!$F$7&lt;&gt;"",B7*100+VALUE(LEFT(C7,LEN(C7)-1))&gt;=总览!$F$7),总览!$G$7,IF(AND(总览!$D$7&lt;&gt;"",B7*100+VALUE(LEFT(C7,LEN(C7)-1))&gt;=总览!$D$7),总览!$E$7,总览!$B$7))))),0)</f>
        <v/>
      </c>
      <c r="F7" s="32">
        <f>ROUND(Q6*总览!$B$14/12,0)</f>
        <v/>
      </c>
      <c r="G7" s="32">
        <f>D7+E7+F7</f>
        <v/>
      </c>
      <c r="H7" s="32">
        <f>IF(OR(B7&gt;2027,AND(B7=2027,VALUE(LEFT(C7,LEN(C7)-1))&gt;=9)),IF(AND(总览!$L$10&lt;&gt;"",B7*100+VALUE(LEFT(C7,LEN(C7)-1))&gt;=总览!$L$10),总览!$M$10,IF(AND(总览!$J$10&lt;&gt;"",B7*100+VALUE(LEFT(C7,LEN(C7)-1))&gt;=总览!$J$10),总览!$K$10,IF(AND(总览!$H$10&lt;&gt;"",B7*100+VALUE(LEFT(C7,LEN(C7)-1))&gt;=总览!$H$10),总览!$I$10,IF(AND(总览!$F$10&lt;&gt;"",B7*100+VALUE(LEFT(C7,LEN(C7)-1))&gt;=总览!$F$10),总览!$G$10,IF(AND(总览!$D$10&lt;&gt;"",B7*100+VALUE(LEFT(C7,LEN(C7)-1))&gt;=总览!$D$10),总览!$E$10,总览!$B$10))))),IF(AND(总览!$L$9&lt;&gt;"",B7*100+VALUE(LEFT(C7,LEN(C7)-1))&gt;=总览!$L$9),总览!$M$9,IF(AND(总览!$J$9&lt;&gt;"",B7*100+VALUE(LEFT(C7,LEN(C7)-1))&gt;=总览!$J$9),总览!$K$9,IF(AND(总览!$H$9&lt;&gt;"",B7*100+VALUE(LEFT(C7,LEN(C7)-1))&gt;=总览!$H$9),总览!$I$9,IF(AND(总览!$F$9&lt;&gt;"",B7*100+VALUE(LEFT(C7,LEN(C7)-1))&gt;=总览!$F$9),总览!$G$9,IF(AND(总览!$D$9&lt;&gt;"",B7*100+VALUE(LEFT(C7,LEN(C7)-1))&gt;=总览!$D$9),总览!$E$9,总览!$B$9))))))</f>
        <v/>
      </c>
      <c r="I7" s="32">
        <f>IF(AND(总览!$L$11&lt;&gt;"",B7*100+VALUE(LEFT(C7,LEN(C7)-1))&gt;=总览!$L$11),总览!$M$11,IF(AND(总览!$J$11&lt;&gt;"",B7*100+VALUE(LEFT(C7,LEN(C7)-1))&gt;=总览!$J$11),总览!$K$11,IF(AND(总览!$H$11&lt;&gt;"",B7*100+VALUE(LEFT(C7,LEN(C7)-1))&gt;=总览!$H$11),总览!$I$11,IF(AND(总览!$F$11&lt;&gt;"",B7*100+VALUE(LEFT(C7,LEN(C7)-1))&gt;=总览!$F$11),总览!$G$11,IF(AND(总览!$D$11&lt;&gt;"",B7*100+VALUE(LEFT(C7,LEN(C7)-1))&gt;=总览!$D$11),总览!$E$11,总览!$B$11)))))</f>
        <v/>
      </c>
      <c r="J7" s="32">
        <f>IF(OR(B7&gt;2027,AND(B7=2027,VALUE(LEFT(C7,LEN(C7)-1))&gt;=9)),IF(AND(总览!$L$12&lt;&gt;"",B7*100+VALUE(LEFT(C7,LEN(C7)-1))&gt;=总览!$L$12),总览!$M$12,IF(AND(总览!$J$12&lt;&gt;"",B7*100+VALUE(LEFT(C7,LEN(C7)-1))&gt;=总览!$J$12),总览!$K$12,IF(AND(总览!$H$12&lt;&gt;"",B7*100+VALUE(LEFT(C7,LEN(C7)-1))&gt;=总览!$H$12),总览!$I$12,IF(AND(总览!$F$12&lt;&gt;"",B7*100+VALUE(LEFT(C7,LEN(C7)-1))&gt;=总览!$F$12),总览!$G$12,IF(AND(总览!$D$12&lt;&gt;"",B7*100+VALUE(LEFT(C7,LEN(C7)-1))&gt;=总览!$D$12),总览!$E$12,总览!$B$12))))),0)</f>
        <v/>
      </c>
      <c r="K7" s="32">
        <f>IF(AND(B7=2026,C7="5月"),120000,IF(AND(B7=2027,C7="9月"),30000,IF(C7="10月",IF(AND(总览!$L$13&lt;&gt;"",B7*100+VALUE(LEFT(C7,LEN(C7)-1))&gt;=总览!$L$13),总览!$M$13,IF(AND(总览!$J$13&lt;&gt;"",B7*100+VALUE(LEFT(C7,LEN(C7)-1))&gt;=总览!$J$13),总览!$K$13,IF(AND(总览!$H$13&lt;&gt;"",B7*100+VALUE(LEFT(C7,LEN(C7)-1))&gt;=总览!$H$13),总览!$I$13,IF(AND(总览!$F$13&lt;&gt;"",B7*100+VALUE(LEFT(C7,LEN(C7)-1))&gt;=总览!$F$13),总览!$G$13,IF(AND(总览!$D$13&lt;&gt;"",B7*100+VALUE(LEFT(C7,LEN(C7)-1))&gt;=总览!$D$13),总览!$E$13,总览!$B$13))))),0)))</f>
        <v/>
      </c>
      <c r="L7" s="31" t="inlineStr"/>
      <c r="M7" s="32">
        <f>IF(B7*100+VALUE(LEFT(C7,LEN(C7)-1))=总览!$B$18,总览!$B$23,0)</f>
        <v/>
      </c>
      <c r="N7" s="32">
        <f>IF(B7*100+VALUE(LEFT(C7,LEN(C7)-1))&gt;总览!$B$18,总览!$B$25,0)</f>
        <v/>
      </c>
      <c r="O7" s="32">
        <f>SUM(H7:J7)+K7+M7+N7</f>
        <v/>
      </c>
      <c r="P7" s="32">
        <f>G7-O7</f>
        <v/>
      </c>
      <c r="Q7" s="32">
        <f>Q6+P7</f>
        <v/>
      </c>
      <c r="R7" s="32">
        <f>IF(B7*100+VALUE(LEFT(C7,LEN(C7)-1))&lt;总览!$B$18,0,IF(B7*100+VALUE(LEFT(C7,LEN(C7)-1))=总览!$B$18,总览!$B$24,R6-(总览!$B$25-R6*总览!$B$22/12)))</f>
        <v/>
      </c>
    </row>
    <row r="8">
      <c r="A8" s="30" t="n">
        <v>7</v>
      </c>
      <c r="B8" s="30" t="n">
        <v>2026</v>
      </c>
      <c r="C8" s="30" t="inlineStr">
        <is>
          <t>8月</t>
        </is>
      </c>
      <c r="D8" s="11">
        <f>IF(AND(总览!$L$6&lt;&gt;"",B8*100+VALUE(LEFT(C8,LEN(C8)-1))&gt;=总览!$L$6),总览!$M$6,IF(AND(总览!$J$6&lt;&gt;"",B8*100+VALUE(LEFT(C8,LEN(C8)-1))&gt;=总览!$J$6),总览!$K$6,IF(AND(总览!$H$6&lt;&gt;"",B8*100+VALUE(LEFT(C8,LEN(C8)-1))&gt;=总览!$H$6),总览!$I$6,IF(AND(总览!$F$6&lt;&gt;"",B8*100+VALUE(LEFT(C8,LEN(C8)-1))&gt;=总览!$F$6),总览!$G$6,IF(AND(总览!$D$6&lt;&gt;"",B8*100+VALUE(LEFT(C8,LEN(C8)-1))&gt;=总览!$D$6),总览!$E$6,总览!$B$6)))))</f>
        <v/>
      </c>
      <c r="E8" s="11">
        <f>IF(C8="12月",IF(AND(总览!$L$7&lt;&gt;"",B8*100+VALUE(LEFT(C8,LEN(C8)-1))&gt;=总览!$L$7),总览!$M$7,IF(AND(总览!$J$7&lt;&gt;"",B8*100+VALUE(LEFT(C8,LEN(C8)-1))&gt;=总览!$J$7),总览!$K$7,IF(AND(总览!$H$7&lt;&gt;"",B8*100+VALUE(LEFT(C8,LEN(C8)-1))&gt;=总览!$H$7),总览!$I$7,IF(AND(总览!$F$7&lt;&gt;"",B8*100+VALUE(LEFT(C8,LEN(C8)-1))&gt;=总览!$F$7),总览!$G$7,IF(AND(总览!$D$7&lt;&gt;"",B8*100+VALUE(LEFT(C8,LEN(C8)-1))&gt;=总览!$D$7),总览!$E$7,总览!$B$7))))),0)</f>
        <v/>
      </c>
      <c r="F8" s="11">
        <f>ROUND(Q7*总览!$B$14/12,0)</f>
        <v/>
      </c>
      <c r="G8" s="11">
        <f>D8+E8+F8</f>
        <v/>
      </c>
      <c r="H8" s="11">
        <f>IF(OR(B8&gt;2027,AND(B8=2027,VALUE(LEFT(C8,LEN(C8)-1))&gt;=9)),IF(AND(总览!$L$10&lt;&gt;"",B8*100+VALUE(LEFT(C8,LEN(C8)-1))&gt;=总览!$L$10),总览!$M$10,IF(AND(总览!$J$10&lt;&gt;"",B8*100+VALUE(LEFT(C8,LEN(C8)-1))&gt;=总览!$J$10),总览!$K$10,IF(AND(总览!$H$10&lt;&gt;"",B8*100+VALUE(LEFT(C8,LEN(C8)-1))&gt;=总览!$H$10),总览!$I$10,IF(AND(总览!$F$10&lt;&gt;"",B8*100+VALUE(LEFT(C8,LEN(C8)-1))&gt;=总览!$F$10),总览!$G$10,IF(AND(总览!$D$10&lt;&gt;"",B8*100+VALUE(LEFT(C8,LEN(C8)-1))&gt;=总览!$D$10),总览!$E$10,总览!$B$10))))),IF(AND(总览!$L$9&lt;&gt;"",B8*100+VALUE(LEFT(C8,LEN(C8)-1))&gt;=总览!$L$9),总览!$M$9,IF(AND(总览!$J$9&lt;&gt;"",B8*100+VALUE(LEFT(C8,LEN(C8)-1))&gt;=总览!$J$9),总览!$K$9,IF(AND(总览!$H$9&lt;&gt;"",B8*100+VALUE(LEFT(C8,LEN(C8)-1))&gt;=总览!$H$9),总览!$I$9,IF(AND(总览!$F$9&lt;&gt;"",B8*100+VALUE(LEFT(C8,LEN(C8)-1))&gt;=总览!$F$9),总览!$G$9,IF(AND(总览!$D$9&lt;&gt;"",B8*100+VALUE(LEFT(C8,LEN(C8)-1))&gt;=总览!$D$9),总览!$E$9,总览!$B$9))))))</f>
        <v/>
      </c>
      <c r="I8" s="11">
        <f>IF(AND(总览!$L$11&lt;&gt;"",B8*100+VALUE(LEFT(C8,LEN(C8)-1))&gt;=总览!$L$11),总览!$M$11,IF(AND(总览!$J$11&lt;&gt;"",B8*100+VALUE(LEFT(C8,LEN(C8)-1))&gt;=总览!$J$11),总览!$K$11,IF(AND(总览!$H$11&lt;&gt;"",B8*100+VALUE(LEFT(C8,LEN(C8)-1))&gt;=总览!$H$11),总览!$I$11,IF(AND(总览!$F$11&lt;&gt;"",B8*100+VALUE(LEFT(C8,LEN(C8)-1))&gt;=总览!$F$11),总览!$G$11,IF(AND(总览!$D$11&lt;&gt;"",B8*100+VALUE(LEFT(C8,LEN(C8)-1))&gt;=总览!$D$11),总览!$E$11,总览!$B$11)))))</f>
        <v/>
      </c>
      <c r="J8" s="11">
        <f>IF(OR(B8&gt;2027,AND(B8=2027,VALUE(LEFT(C8,LEN(C8)-1))&gt;=9)),IF(AND(总览!$L$12&lt;&gt;"",B8*100+VALUE(LEFT(C8,LEN(C8)-1))&gt;=总览!$L$12),总览!$M$12,IF(AND(总览!$J$12&lt;&gt;"",B8*100+VALUE(LEFT(C8,LEN(C8)-1))&gt;=总览!$J$12),总览!$K$12,IF(AND(总览!$H$12&lt;&gt;"",B8*100+VALUE(LEFT(C8,LEN(C8)-1))&gt;=总览!$H$12),总览!$I$12,IF(AND(总览!$F$12&lt;&gt;"",B8*100+VALUE(LEFT(C8,LEN(C8)-1))&gt;=总览!$F$12),总览!$G$12,IF(AND(总览!$D$12&lt;&gt;"",B8*100+VALUE(LEFT(C8,LEN(C8)-1))&gt;=总览!$D$12),总览!$E$12,总览!$B$12))))),0)</f>
        <v/>
      </c>
      <c r="K8" s="11">
        <f>IF(AND(B8=2026,C8="5月"),120000,IF(AND(B8=2027,C8="9月"),30000,IF(C8="10月",IF(AND(总览!$L$13&lt;&gt;"",B8*100+VALUE(LEFT(C8,LEN(C8)-1))&gt;=总览!$L$13),总览!$M$13,IF(AND(总览!$J$13&lt;&gt;"",B8*100+VALUE(LEFT(C8,LEN(C8)-1))&gt;=总览!$J$13),总览!$K$13,IF(AND(总览!$H$13&lt;&gt;"",B8*100+VALUE(LEFT(C8,LEN(C8)-1))&gt;=总览!$H$13),总览!$I$13,IF(AND(总览!$F$13&lt;&gt;"",B8*100+VALUE(LEFT(C8,LEN(C8)-1))&gt;=总览!$F$13),总览!$G$13,IF(AND(总览!$D$13&lt;&gt;"",B8*100+VALUE(LEFT(C8,LEN(C8)-1))&gt;=总览!$D$13),总览!$E$13,总览!$B$13))))),0)))</f>
        <v/>
      </c>
      <c r="L8" s="30" t="inlineStr"/>
      <c r="M8" s="11">
        <f>IF(B8*100+VALUE(LEFT(C8,LEN(C8)-1))=总览!$B$18,总览!$B$23,0)</f>
        <v/>
      </c>
      <c r="N8" s="11">
        <f>IF(B8*100+VALUE(LEFT(C8,LEN(C8)-1))&gt;总览!$B$18,总览!$B$25,0)</f>
        <v/>
      </c>
      <c r="O8" s="11">
        <f>SUM(H8:J8)+K8+M8+N8</f>
        <v/>
      </c>
      <c r="P8" s="11">
        <f>G8-O8</f>
        <v/>
      </c>
      <c r="Q8" s="11">
        <f>Q7+P8</f>
        <v/>
      </c>
      <c r="R8" s="11">
        <f>IF(B8*100+VALUE(LEFT(C8,LEN(C8)-1))&lt;总览!$B$18,0,IF(B8*100+VALUE(LEFT(C8,LEN(C8)-1))=总览!$B$18,总览!$B$24,R7-(总览!$B$25-R7*总览!$B$22/12)))</f>
        <v/>
      </c>
    </row>
    <row r="9">
      <c r="A9" s="31" t="n">
        <v>8</v>
      </c>
      <c r="B9" s="31" t="n">
        <v>2026</v>
      </c>
      <c r="C9" s="31" t="inlineStr">
        <is>
          <t>9月</t>
        </is>
      </c>
      <c r="D9" s="32">
        <f>IF(AND(总览!$L$6&lt;&gt;"",B9*100+VALUE(LEFT(C9,LEN(C9)-1))&gt;=总览!$L$6),总览!$M$6,IF(AND(总览!$J$6&lt;&gt;"",B9*100+VALUE(LEFT(C9,LEN(C9)-1))&gt;=总览!$J$6),总览!$K$6,IF(AND(总览!$H$6&lt;&gt;"",B9*100+VALUE(LEFT(C9,LEN(C9)-1))&gt;=总览!$H$6),总览!$I$6,IF(AND(总览!$F$6&lt;&gt;"",B9*100+VALUE(LEFT(C9,LEN(C9)-1))&gt;=总览!$F$6),总览!$G$6,IF(AND(总览!$D$6&lt;&gt;"",B9*100+VALUE(LEFT(C9,LEN(C9)-1))&gt;=总览!$D$6),总览!$E$6,总览!$B$6)))))</f>
        <v/>
      </c>
      <c r="E9" s="32">
        <f>IF(C9="12月",IF(AND(总览!$L$7&lt;&gt;"",B9*100+VALUE(LEFT(C9,LEN(C9)-1))&gt;=总览!$L$7),总览!$M$7,IF(AND(总览!$J$7&lt;&gt;"",B9*100+VALUE(LEFT(C9,LEN(C9)-1))&gt;=总览!$J$7),总览!$K$7,IF(AND(总览!$H$7&lt;&gt;"",B9*100+VALUE(LEFT(C9,LEN(C9)-1))&gt;=总览!$H$7),总览!$I$7,IF(AND(总览!$F$7&lt;&gt;"",B9*100+VALUE(LEFT(C9,LEN(C9)-1))&gt;=总览!$F$7),总览!$G$7,IF(AND(总览!$D$7&lt;&gt;"",B9*100+VALUE(LEFT(C9,LEN(C9)-1))&gt;=总览!$D$7),总览!$E$7,总览!$B$7))))),0)</f>
        <v/>
      </c>
      <c r="F9" s="32">
        <f>ROUND(Q8*总览!$B$14/12,0)</f>
        <v/>
      </c>
      <c r="G9" s="32">
        <f>D9+E9+F9</f>
        <v/>
      </c>
      <c r="H9" s="32">
        <f>IF(OR(B9&gt;2027,AND(B9=2027,VALUE(LEFT(C9,LEN(C9)-1))&gt;=9)),IF(AND(总览!$L$10&lt;&gt;"",B9*100+VALUE(LEFT(C9,LEN(C9)-1))&gt;=总览!$L$10),总览!$M$10,IF(AND(总览!$J$10&lt;&gt;"",B9*100+VALUE(LEFT(C9,LEN(C9)-1))&gt;=总览!$J$10),总览!$K$10,IF(AND(总览!$H$10&lt;&gt;"",B9*100+VALUE(LEFT(C9,LEN(C9)-1))&gt;=总览!$H$10),总览!$I$10,IF(AND(总览!$F$10&lt;&gt;"",B9*100+VALUE(LEFT(C9,LEN(C9)-1))&gt;=总览!$F$10),总览!$G$10,IF(AND(总览!$D$10&lt;&gt;"",B9*100+VALUE(LEFT(C9,LEN(C9)-1))&gt;=总览!$D$10),总览!$E$10,总览!$B$10))))),IF(AND(总览!$L$9&lt;&gt;"",B9*100+VALUE(LEFT(C9,LEN(C9)-1))&gt;=总览!$L$9),总览!$M$9,IF(AND(总览!$J$9&lt;&gt;"",B9*100+VALUE(LEFT(C9,LEN(C9)-1))&gt;=总览!$J$9),总览!$K$9,IF(AND(总览!$H$9&lt;&gt;"",B9*100+VALUE(LEFT(C9,LEN(C9)-1))&gt;=总览!$H$9),总览!$I$9,IF(AND(总览!$F$9&lt;&gt;"",B9*100+VALUE(LEFT(C9,LEN(C9)-1))&gt;=总览!$F$9),总览!$G$9,IF(AND(总览!$D$9&lt;&gt;"",B9*100+VALUE(LEFT(C9,LEN(C9)-1))&gt;=总览!$D$9),总览!$E$9,总览!$B$9))))))</f>
        <v/>
      </c>
      <c r="I9" s="32">
        <f>IF(AND(总览!$L$11&lt;&gt;"",B9*100+VALUE(LEFT(C9,LEN(C9)-1))&gt;=总览!$L$11),总览!$M$11,IF(AND(总览!$J$11&lt;&gt;"",B9*100+VALUE(LEFT(C9,LEN(C9)-1))&gt;=总览!$J$11),总览!$K$11,IF(AND(总览!$H$11&lt;&gt;"",B9*100+VALUE(LEFT(C9,LEN(C9)-1))&gt;=总览!$H$11),总览!$I$11,IF(AND(总览!$F$11&lt;&gt;"",B9*100+VALUE(LEFT(C9,LEN(C9)-1))&gt;=总览!$F$11),总览!$G$11,IF(AND(总览!$D$11&lt;&gt;"",B9*100+VALUE(LEFT(C9,LEN(C9)-1))&gt;=总览!$D$11),总览!$E$11,总览!$B$11)))))</f>
        <v/>
      </c>
      <c r="J9" s="32">
        <f>IF(OR(B9&gt;2027,AND(B9=2027,VALUE(LEFT(C9,LEN(C9)-1))&gt;=9)),IF(AND(总览!$L$12&lt;&gt;"",B9*100+VALUE(LEFT(C9,LEN(C9)-1))&gt;=总览!$L$12),总览!$M$12,IF(AND(总览!$J$12&lt;&gt;"",B9*100+VALUE(LEFT(C9,LEN(C9)-1))&gt;=总览!$J$12),总览!$K$12,IF(AND(总览!$H$12&lt;&gt;"",B9*100+VALUE(LEFT(C9,LEN(C9)-1))&gt;=总览!$H$12),总览!$I$12,IF(AND(总览!$F$12&lt;&gt;"",B9*100+VALUE(LEFT(C9,LEN(C9)-1))&gt;=总览!$F$12),总览!$G$12,IF(AND(总览!$D$12&lt;&gt;"",B9*100+VALUE(LEFT(C9,LEN(C9)-1))&gt;=总览!$D$12),总览!$E$12,总览!$B$12))))),0)</f>
        <v/>
      </c>
      <c r="K9" s="32">
        <f>IF(AND(B9=2026,C9="5月"),120000,IF(AND(B9=2027,C9="9月"),30000,IF(C9="10月",IF(AND(总览!$L$13&lt;&gt;"",B9*100+VALUE(LEFT(C9,LEN(C9)-1))&gt;=总览!$L$13),总览!$M$13,IF(AND(总览!$J$13&lt;&gt;"",B9*100+VALUE(LEFT(C9,LEN(C9)-1))&gt;=总览!$J$13),总览!$K$13,IF(AND(总览!$H$13&lt;&gt;"",B9*100+VALUE(LEFT(C9,LEN(C9)-1))&gt;=总览!$H$13),总览!$I$13,IF(AND(总览!$F$13&lt;&gt;"",B9*100+VALUE(LEFT(C9,LEN(C9)-1))&gt;=总览!$F$13),总览!$G$13,IF(AND(总览!$D$13&lt;&gt;"",B9*100+VALUE(LEFT(C9,LEN(C9)-1))&gt;=总览!$D$13),总览!$E$13,总览!$B$13))))),0)))</f>
        <v/>
      </c>
      <c r="L9" s="31" t="inlineStr"/>
      <c r="M9" s="32">
        <f>IF(B9*100+VALUE(LEFT(C9,LEN(C9)-1))=总览!$B$18,总览!$B$23,0)</f>
        <v/>
      </c>
      <c r="N9" s="32">
        <f>IF(B9*100+VALUE(LEFT(C9,LEN(C9)-1))&gt;总览!$B$18,总览!$B$25,0)</f>
        <v/>
      </c>
      <c r="O9" s="32">
        <f>SUM(H9:J9)+K9+M9+N9</f>
        <v/>
      </c>
      <c r="P9" s="32">
        <f>G9-O9</f>
        <v/>
      </c>
      <c r="Q9" s="32">
        <f>Q8+P9</f>
        <v/>
      </c>
      <c r="R9" s="32">
        <f>IF(B9*100+VALUE(LEFT(C9,LEN(C9)-1))&lt;总览!$B$18,0,IF(B9*100+VALUE(LEFT(C9,LEN(C9)-1))=总览!$B$18,总览!$B$24,R8-(总览!$B$25-R8*总览!$B$22/12)))</f>
        <v/>
      </c>
    </row>
    <row r="10">
      <c r="A10" s="33" t="n">
        <v>9</v>
      </c>
      <c r="B10" s="33" t="n">
        <v>2026</v>
      </c>
      <c r="C10" s="33" t="inlineStr">
        <is>
          <t>10月</t>
        </is>
      </c>
      <c r="D10" s="34">
        <f>IF(AND(总览!$L$6&lt;&gt;"",B10*100+VALUE(LEFT(C10,LEN(C10)-1))&gt;=总览!$L$6),总览!$M$6,IF(AND(总览!$J$6&lt;&gt;"",B10*100+VALUE(LEFT(C10,LEN(C10)-1))&gt;=总览!$J$6),总览!$K$6,IF(AND(总览!$H$6&lt;&gt;"",B10*100+VALUE(LEFT(C10,LEN(C10)-1))&gt;=总览!$H$6),总览!$I$6,IF(AND(总览!$F$6&lt;&gt;"",B10*100+VALUE(LEFT(C10,LEN(C10)-1))&gt;=总览!$F$6),总览!$G$6,IF(AND(总览!$D$6&lt;&gt;"",B10*100+VALUE(LEFT(C10,LEN(C10)-1))&gt;=总览!$D$6),总览!$E$6,总览!$B$6)))))</f>
        <v/>
      </c>
      <c r="E10" s="34">
        <f>IF(C10="12月",IF(AND(总览!$L$7&lt;&gt;"",B10*100+VALUE(LEFT(C10,LEN(C10)-1))&gt;=总览!$L$7),总览!$M$7,IF(AND(总览!$J$7&lt;&gt;"",B10*100+VALUE(LEFT(C10,LEN(C10)-1))&gt;=总览!$J$7),总览!$K$7,IF(AND(总览!$H$7&lt;&gt;"",B10*100+VALUE(LEFT(C10,LEN(C10)-1))&gt;=总览!$H$7),总览!$I$7,IF(AND(总览!$F$7&lt;&gt;"",B10*100+VALUE(LEFT(C10,LEN(C10)-1))&gt;=总览!$F$7),总览!$G$7,IF(AND(总览!$D$7&lt;&gt;"",B10*100+VALUE(LEFT(C10,LEN(C10)-1))&gt;=总览!$D$7),总览!$E$7,总览!$B$7))))),0)</f>
        <v/>
      </c>
      <c r="F10" s="34">
        <f>ROUND(Q9*总览!$B$14/12,0)</f>
        <v/>
      </c>
      <c r="G10" s="34">
        <f>D10+E10+F10</f>
        <v/>
      </c>
      <c r="H10" s="34">
        <f>IF(OR(B10&gt;2027,AND(B10=2027,VALUE(LEFT(C10,LEN(C10)-1))&gt;=9)),IF(AND(总览!$L$10&lt;&gt;"",B10*100+VALUE(LEFT(C10,LEN(C10)-1))&gt;=总览!$L$10),总览!$M$10,IF(AND(总览!$J$10&lt;&gt;"",B10*100+VALUE(LEFT(C10,LEN(C10)-1))&gt;=总览!$J$10),总览!$K$10,IF(AND(总览!$H$10&lt;&gt;"",B10*100+VALUE(LEFT(C10,LEN(C10)-1))&gt;=总览!$H$10),总览!$I$10,IF(AND(总览!$F$10&lt;&gt;"",B10*100+VALUE(LEFT(C10,LEN(C10)-1))&gt;=总览!$F$10),总览!$G$10,IF(AND(总览!$D$10&lt;&gt;"",B10*100+VALUE(LEFT(C10,LEN(C10)-1))&gt;=总览!$D$10),总览!$E$10,总览!$B$10))))),IF(AND(总览!$L$9&lt;&gt;"",B10*100+VALUE(LEFT(C10,LEN(C10)-1))&gt;=总览!$L$9),总览!$M$9,IF(AND(总览!$J$9&lt;&gt;"",B10*100+VALUE(LEFT(C10,LEN(C10)-1))&gt;=总览!$J$9),总览!$K$9,IF(AND(总览!$H$9&lt;&gt;"",B10*100+VALUE(LEFT(C10,LEN(C10)-1))&gt;=总览!$H$9),总览!$I$9,IF(AND(总览!$F$9&lt;&gt;"",B10*100+VALUE(LEFT(C10,LEN(C10)-1))&gt;=总览!$F$9),总览!$G$9,IF(AND(总览!$D$9&lt;&gt;"",B10*100+VALUE(LEFT(C10,LEN(C10)-1))&gt;=总览!$D$9),总览!$E$9,总览!$B$9))))))</f>
        <v/>
      </c>
      <c r="I10" s="34">
        <f>IF(AND(总览!$L$11&lt;&gt;"",B10*100+VALUE(LEFT(C10,LEN(C10)-1))&gt;=总览!$L$11),总览!$M$11,IF(AND(总览!$J$11&lt;&gt;"",B10*100+VALUE(LEFT(C10,LEN(C10)-1))&gt;=总览!$J$11),总览!$K$11,IF(AND(总览!$H$11&lt;&gt;"",B10*100+VALUE(LEFT(C10,LEN(C10)-1))&gt;=总览!$H$11),总览!$I$11,IF(AND(总览!$F$11&lt;&gt;"",B10*100+VALUE(LEFT(C10,LEN(C10)-1))&gt;=总览!$F$11),总览!$G$11,IF(AND(总览!$D$11&lt;&gt;"",B10*100+VALUE(LEFT(C10,LEN(C10)-1))&gt;=总览!$D$11),总览!$E$11,总览!$B$11)))))</f>
        <v/>
      </c>
      <c r="J10" s="34">
        <f>IF(OR(B10&gt;2027,AND(B10=2027,VALUE(LEFT(C10,LEN(C10)-1))&gt;=9)),IF(AND(总览!$L$12&lt;&gt;"",B10*100+VALUE(LEFT(C10,LEN(C10)-1))&gt;=总览!$L$12),总览!$M$12,IF(AND(总览!$J$12&lt;&gt;"",B10*100+VALUE(LEFT(C10,LEN(C10)-1))&gt;=总览!$J$12),总览!$K$12,IF(AND(总览!$H$12&lt;&gt;"",B10*100+VALUE(LEFT(C10,LEN(C10)-1))&gt;=总览!$H$12),总览!$I$12,IF(AND(总览!$F$12&lt;&gt;"",B10*100+VALUE(LEFT(C10,LEN(C10)-1))&gt;=总览!$F$12),总览!$G$12,IF(AND(总览!$D$12&lt;&gt;"",B10*100+VALUE(LEFT(C10,LEN(C10)-1))&gt;=总览!$D$12),总览!$E$12,总览!$B$12))))),0)</f>
        <v/>
      </c>
      <c r="K10" s="34">
        <f>IF(AND(B10=2026,C10="5月"),120000,IF(AND(B10=2027,C10="9月"),30000,IF(C10="10月",IF(AND(总览!$L$13&lt;&gt;"",B10*100+VALUE(LEFT(C10,LEN(C10)-1))&gt;=总览!$L$13),总览!$M$13,IF(AND(总览!$J$13&lt;&gt;"",B10*100+VALUE(LEFT(C10,LEN(C10)-1))&gt;=总览!$J$13),总览!$K$13,IF(AND(总览!$H$13&lt;&gt;"",B10*100+VALUE(LEFT(C10,LEN(C10)-1))&gt;=总览!$H$13),总览!$I$13,IF(AND(总览!$F$13&lt;&gt;"",B10*100+VALUE(LEFT(C10,LEN(C10)-1))&gt;=总览!$F$13),总览!$G$13,IF(AND(总览!$D$13&lt;&gt;"",B10*100+VALUE(LEFT(C10,LEN(C10)-1))&gt;=总览!$D$13),总览!$E$13,总览!$B$13))))),0)))</f>
        <v/>
      </c>
      <c r="L10" s="33" t="inlineStr">
        <is>
          <t>年度旅游</t>
        </is>
      </c>
      <c r="M10" s="34">
        <f>IF(B10*100+VALUE(LEFT(C10,LEN(C10)-1))=总览!$B$18,总览!$B$23,0)</f>
        <v/>
      </c>
      <c r="N10" s="34">
        <f>IF(B10*100+VALUE(LEFT(C10,LEN(C10)-1))&gt;总览!$B$18,总览!$B$25,0)</f>
        <v/>
      </c>
      <c r="O10" s="34">
        <f>SUM(H10:J10)+K10+M10+N10</f>
        <v/>
      </c>
      <c r="P10" s="34">
        <f>G10-O10</f>
        <v/>
      </c>
      <c r="Q10" s="34">
        <f>Q9+P10</f>
        <v/>
      </c>
      <c r="R10" s="34">
        <f>IF(B10*100+VALUE(LEFT(C10,LEN(C10)-1))&lt;总览!$B$18,0,IF(B10*100+VALUE(LEFT(C10,LEN(C10)-1))=总览!$B$18,总览!$B$24,R9-(总览!$B$25-R9*总览!$B$22/12)))</f>
        <v/>
      </c>
    </row>
    <row r="11">
      <c r="A11" s="31" t="n">
        <v>10</v>
      </c>
      <c r="B11" s="31" t="n">
        <v>2026</v>
      </c>
      <c r="C11" s="31" t="inlineStr">
        <is>
          <t>11月</t>
        </is>
      </c>
      <c r="D11" s="32">
        <f>IF(AND(总览!$L$6&lt;&gt;"",B11*100+VALUE(LEFT(C11,LEN(C11)-1))&gt;=总览!$L$6),总览!$M$6,IF(AND(总览!$J$6&lt;&gt;"",B11*100+VALUE(LEFT(C11,LEN(C11)-1))&gt;=总览!$J$6),总览!$K$6,IF(AND(总览!$H$6&lt;&gt;"",B11*100+VALUE(LEFT(C11,LEN(C11)-1))&gt;=总览!$H$6),总览!$I$6,IF(AND(总览!$F$6&lt;&gt;"",B11*100+VALUE(LEFT(C11,LEN(C11)-1))&gt;=总览!$F$6),总览!$G$6,IF(AND(总览!$D$6&lt;&gt;"",B11*100+VALUE(LEFT(C11,LEN(C11)-1))&gt;=总览!$D$6),总览!$E$6,总览!$B$6)))))</f>
        <v/>
      </c>
      <c r="E11" s="32">
        <f>IF(C11="12月",IF(AND(总览!$L$7&lt;&gt;"",B11*100+VALUE(LEFT(C11,LEN(C11)-1))&gt;=总览!$L$7),总览!$M$7,IF(AND(总览!$J$7&lt;&gt;"",B11*100+VALUE(LEFT(C11,LEN(C11)-1))&gt;=总览!$J$7),总览!$K$7,IF(AND(总览!$H$7&lt;&gt;"",B11*100+VALUE(LEFT(C11,LEN(C11)-1))&gt;=总览!$H$7),总览!$I$7,IF(AND(总览!$F$7&lt;&gt;"",B11*100+VALUE(LEFT(C11,LEN(C11)-1))&gt;=总览!$F$7),总览!$G$7,IF(AND(总览!$D$7&lt;&gt;"",B11*100+VALUE(LEFT(C11,LEN(C11)-1))&gt;=总览!$D$7),总览!$E$7,总览!$B$7))))),0)</f>
        <v/>
      </c>
      <c r="F11" s="32">
        <f>ROUND(Q10*总览!$B$14/12,0)</f>
        <v/>
      </c>
      <c r="G11" s="32">
        <f>D11+E11+F11</f>
        <v/>
      </c>
      <c r="H11" s="32">
        <f>IF(OR(B11&gt;2027,AND(B11=2027,VALUE(LEFT(C11,LEN(C11)-1))&gt;=9)),IF(AND(总览!$L$10&lt;&gt;"",B11*100+VALUE(LEFT(C11,LEN(C11)-1))&gt;=总览!$L$10),总览!$M$10,IF(AND(总览!$J$10&lt;&gt;"",B11*100+VALUE(LEFT(C11,LEN(C11)-1))&gt;=总览!$J$10),总览!$K$10,IF(AND(总览!$H$10&lt;&gt;"",B11*100+VALUE(LEFT(C11,LEN(C11)-1))&gt;=总览!$H$10),总览!$I$10,IF(AND(总览!$F$10&lt;&gt;"",B11*100+VALUE(LEFT(C11,LEN(C11)-1))&gt;=总览!$F$10),总览!$G$10,IF(AND(总览!$D$10&lt;&gt;"",B11*100+VALUE(LEFT(C11,LEN(C11)-1))&gt;=总览!$D$10),总览!$E$10,总览!$B$10))))),IF(AND(总览!$L$9&lt;&gt;"",B11*100+VALUE(LEFT(C11,LEN(C11)-1))&gt;=总览!$L$9),总览!$M$9,IF(AND(总览!$J$9&lt;&gt;"",B11*100+VALUE(LEFT(C11,LEN(C11)-1))&gt;=总览!$J$9),总览!$K$9,IF(AND(总览!$H$9&lt;&gt;"",B11*100+VALUE(LEFT(C11,LEN(C11)-1))&gt;=总览!$H$9),总览!$I$9,IF(AND(总览!$F$9&lt;&gt;"",B11*100+VALUE(LEFT(C11,LEN(C11)-1))&gt;=总览!$F$9),总览!$G$9,IF(AND(总览!$D$9&lt;&gt;"",B11*100+VALUE(LEFT(C11,LEN(C11)-1))&gt;=总览!$D$9),总览!$E$9,总览!$B$9))))))</f>
        <v/>
      </c>
      <c r="I11" s="32">
        <f>IF(AND(总览!$L$11&lt;&gt;"",B11*100+VALUE(LEFT(C11,LEN(C11)-1))&gt;=总览!$L$11),总览!$M$11,IF(AND(总览!$J$11&lt;&gt;"",B11*100+VALUE(LEFT(C11,LEN(C11)-1))&gt;=总览!$J$11),总览!$K$11,IF(AND(总览!$H$11&lt;&gt;"",B11*100+VALUE(LEFT(C11,LEN(C11)-1))&gt;=总览!$H$11),总览!$I$11,IF(AND(总览!$F$11&lt;&gt;"",B11*100+VALUE(LEFT(C11,LEN(C11)-1))&gt;=总览!$F$11),总览!$G$11,IF(AND(总览!$D$11&lt;&gt;"",B11*100+VALUE(LEFT(C11,LEN(C11)-1))&gt;=总览!$D$11),总览!$E$11,总览!$B$11)))))</f>
        <v/>
      </c>
      <c r="J11" s="32">
        <f>IF(OR(B11&gt;2027,AND(B11=2027,VALUE(LEFT(C11,LEN(C11)-1))&gt;=9)),IF(AND(总览!$L$12&lt;&gt;"",B11*100+VALUE(LEFT(C11,LEN(C11)-1))&gt;=总览!$L$12),总览!$M$12,IF(AND(总览!$J$12&lt;&gt;"",B11*100+VALUE(LEFT(C11,LEN(C11)-1))&gt;=总览!$J$12),总览!$K$12,IF(AND(总览!$H$12&lt;&gt;"",B11*100+VALUE(LEFT(C11,LEN(C11)-1))&gt;=总览!$H$12),总览!$I$12,IF(AND(总览!$F$12&lt;&gt;"",B11*100+VALUE(LEFT(C11,LEN(C11)-1))&gt;=总览!$F$12),总览!$G$12,IF(AND(总览!$D$12&lt;&gt;"",B11*100+VALUE(LEFT(C11,LEN(C11)-1))&gt;=总览!$D$12),总览!$E$12,总览!$B$12))))),0)</f>
        <v/>
      </c>
      <c r="K11" s="32">
        <f>IF(AND(B11=2026,C11="5月"),120000,IF(AND(B11=2027,C11="9月"),30000,IF(C11="10月",IF(AND(总览!$L$13&lt;&gt;"",B11*100+VALUE(LEFT(C11,LEN(C11)-1))&gt;=总览!$L$13),总览!$M$13,IF(AND(总览!$J$13&lt;&gt;"",B11*100+VALUE(LEFT(C11,LEN(C11)-1))&gt;=总览!$J$13),总览!$K$13,IF(AND(总览!$H$13&lt;&gt;"",B11*100+VALUE(LEFT(C11,LEN(C11)-1))&gt;=总览!$H$13),总览!$I$13,IF(AND(总览!$F$13&lt;&gt;"",B11*100+VALUE(LEFT(C11,LEN(C11)-1))&gt;=总览!$F$13),总览!$G$13,IF(AND(总览!$D$13&lt;&gt;"",B11*100+VALUE(LEFT(C11,LEN(C11)-1))&gt;=总览!$D$13),总览!$E$13,总览!$B$13))))),0)))</f>
        <v/>
      </c>
      <c r="L11" s="31" t="inlineStr"/>
      <c r="M11" s="32">
        <f>IF(B11*100+VALUE(LEFT(C11,LEN(C11)-1))=总览!$B$18,总览!$B$23,0)</f>
        <v/>
      </c>
      <c r="N11" s="32">
        <f>IF(B11*100+VALUE(LEFT(C11,LEN(C11)-1))&gt;总览!$B$18,总览!$B$25,0)</f>
        <v/>
      </c>
      <c r="O11" s="32">
        <f>SUM(H11:J11)+K11+M11+N11</f>
        <v/>
      </c>
      <c r="P11" s="32">
        <f>G11-O11</f>
        <v/>
      </c>
      <c r="Q11" s="32">
        <f>Q10+P11</f>
        <v/>
      </c>
      <c r="R11" s="32">
        <f>IF(B11*100+VALUE(LEFT(C11,LEN(C11)-1))&lt;总览!$B$18,0,IF(B11*100+VALUE(LEFT(C11,LEN(C11)-1))=总览!$B$18,总览!$B$24,R10-(总览!$B$25-R10*总览!$B$22/12)))</f>
        <v/>
      </c>
    </row>
    <row r="12">
      <c r="A12" s="35" t="n">
        <v>11</v>
      </c>
      <c r="B12" s="35" t="n">
        <v>2026</v>
      </c>
      <c r="C12" s="35" t="inlineStr">
        <is>
          <t>12月</t>
        </is>
      </c>
      <c r="D12" s="36">
        <f>IF(AND(总览!$L$6&lt;&gt;"",B12*100+VALUE(LEFT(C12,LEN(C12)-1))&gt;=总览!$L$6),总览!$M$6,IF(AND(总览!$J$6&lt;&gt;"",B12*100+VALUE(LEFT(C12,LEN(C12)-1))&gt;=总览!$J$6),总览!$K$6,IF(AND(总览!$H$6&lt;&gt;"",B12*100+VALUE(LEFT(C12,LEN(C12)-1))&gt;=总览!$H$6),总览!$I$6,IF(AND(总览!$F$6&lt;&gt;"",B12*100+VALUE(LEFT(C12,LEN(C12)-1))&gt;=总览!$F$6),总览!$G$6,IF(AND(总览!$D$6&lt;&gt;"",B12*100+VALUE(LEFT(C12,LEN(C12)-1))&gt;=总览!$D$6),总览!$E$6,总览!$B$6)))))</f>
        <v/>
      </c>
      <c r="E12" s="36">
        <f>IF(C12="12月",IF(AND(总览!$L$7&lt;&gt;"",B12*100+VALUE(LEFT(C12,LEN(C12)-1))&gt;=总览!$L$7),总览!$M$7,IF(AND(总览!$J$7&lt;&gt;"",B12*100+VALUE(LEFT(C12,LEN(C12)-1))&gt;=总览!$J$7),总览!$K$7,IF(AND(总览!$H$7&lt;&gt;"",B12*100+VALUE(LEFT(C12,LEN(C12)-1))&gt;=总览!$H$7),总览!$I$7,IF(AND(总览!$F$7&lt;&gt;"",B12*100+VALUE(LEFT(C12,LEN(C12)-1))&gt;=总览!$F$7),总览!$G$7,IF(AND(总览!$D$7&lt;&gt;"",B12*100+VALUE(LEFT(C12,LEN(C12)-1))&gt;=总览!$D$7),总览!$E$7,总览!$B$7))))),0)</f>
        <v/>
      </c>
      <c r="F12" s="36">
        <f>ROUND(Q11*总览!$B$14/12,0)</f>
        <v/>
      </c>
      <c r="G12" s="36">
        <f>D12+E12+F12</f>
        <v/>
      </c>
      <c r="H12" s="36">
        <f>IF(OR(B12&gt;2027,AND(B12=2027,VALUE(LEFT(C12,LEN(C12)-1))&gt;=9)),IF(AND(总览!$L$10&lt;&gt;"",B12*100+VALUE(LEFT(C12,LEN(C12)-1))&gt;=总览!$L$10),总览!$M$10,IF(AND(总览!$J$10&lt;&gt;"",B12*100+VALUE(LEFT(C12,LEN(C12)-1))&gt;=总览!$J$10),总览!$K$10,IF(AND(总览!$H$10&lt;&gt;"",B12*100+VALUE(LEFT(C12,LEN(C12)-1))&gt;=总览!$H$10),总览!$I$10,IF(AND(总览!$F$10&lt;&gt;"",B12*100+VALUE(LEFT(C12,LEN(C12)-1))&gt;=总览!$F$10),总览!$G$10,IF(AND(总览!$D$10&lt;&gt;"",B12*100+VALUE(LEFT(C12,LEN(C12)-1))&gt;=总览!$D$10),总览!$E$10,总览!$B$10))))),IF(AND(总览!$L$9&lt;&gt;"",B12*100+VALUE(LEFT(C12,LEN(C12)-1))&gt;=总览!$L$9),总览!$M$9,IF(AND(总览!$J$9&lt;&gt;"",B12*100+VALUE(LEFT(C12,LEN(C12)-1))&gt;=总览!$J$9),总览!$K$9,IF(AND(总览!$H$9&lt;&gt;"",B12*100+VALUE(LEFT(C12,LEN(C12)-1))&gt;=总览!$H$9),总览!$I$9,IF(AND(总览!$F$9&lt;&gt;"",B12*100+VALUE(LEFT(C12,LEN(C12)-1))&gt;=总览!$F$9),总览!$G$9,IF(AND(总览!$D$9&lt;&gt;"",B12*100+VALUE(LEFT(C12,LEN(C12)-1))&gt;=总览!$D$9),总览!$E$9,总览!$B$9))))))</f>
        <v/>
      </c>
      <c r="I12" s="36">
        <f>IF(AND(总览!$L$11&lt;&gt;"",B12*100+VALUE(LEFT(C12,LEN(C12)-1))&gt;=总览!$L$11),总览!$M$11,IF(AND(总览!$J$11&lt;&gt;"",B12*100+VALUE(LEFT(C12,LEN(C12)-1))&gt;=总览!$J$11),总览!$K$11,IF(AND(总览!$H$11&lt;&gt;"",B12*100+VALUE(LEFT(C12,LEN(C12)-1))&gt;=总览!$H$11),总览!$I$11,IF(AND(总览!$F$11&lt;&gt;"",B12*100+VALUE(LEFT(C12,LEN(C12)-1))&gt;=总览!$F$11),总览!$G$11,IF(AND(总览!$D$11&lt;&gt;"",B12*100+VALUE(LEFT(C12,LEN(C12)-1))&gt;=总览!$D$11),总览!$E$11,总览!$B$11)))))</f>
        <v/>
      </c>
      <c r="J12" s="36">
        <f>IF(OR(B12&gt;2027,AND(B12=2027,VALUE(LEFT(C12,LEN(C12)-1))&gt;=9)),IF(AND(总览!$L$12&lt;&gt;"",B12*100+VALUE(LEFT(C12,LEN(C12)-1))&gt;=总览!$L$12),总览!$M$12,IF(AND(总览!$J$12&lt;&gt;"",B12*100+VALUE(LEFT(C12,LEN(C12)-1))&gt;=总览!$J$12),总览!$K$12,IF(AND(总览!$H$12&lt;&gt;"",B12*100+VALUE(LEFT(C12,LEN(C12)-1))&gt;=总览!$H$12),总览!$I$12,IF(AND(总览!$F$12&lt;&gt;"",B12*100+VALUE(LEFT(C12,LEN(C12)-1))&gt;=总览!$F$12),总览!$G$12,IF(AND(总览!$D$12&lt;&gt;"",B12*100+VALUE(LEFT(C12,LEN(C12)-1))&gt;=总览!$D$12),总览!$E$12,总览!$B$12))))),0)</f>
        <v/>
      </c>
      <c r="K12" s="36">
        <f>IF(AND(B12=2026,C12="5月"),120000,IF(AND(B12=2027,C12="9月"),30000,IF(C12="10月",IF(AND(总览!$L$13&lt;&gt;"",B12*100+VALUE(LEFT(C12,LEN(C12)-1))&gt;=总览!$L$13),总览!$M$13,IF(AND(总览!$J$13&lt;&gt;"",B12*100+VALUE(LEFT(C12,LEN(C12)-1))&gt;=总览!$J$13),总览!$K$13,IF(AND(总览!$H$13&lt;&gt;"",B12*100+VALUE(LEFT(C12,LEN(C12)-1))&gt;=总览!$H$13),总览!$I$13,IF(AND(总览!$F$13&lt;&gt;"",B12*100+VALUE(LEFT(C12,LEN(C12)-1))&gt;=总览!$F$13),总览!$G$13,IF(AND(总览!$D$13&lt;&gt;"",B12*100+VALUE(LEFT(C12,LEN(C12)-1))&gt;=总览!$D$13),总览!$E$13,总览!$B$13))))),0)))</f>
        <v/>
      </c>
      <c r="L12" s="35" t="inlineStr"/>
      <c r="M12" s="36">
        <f>IF(B12*100+VALUE(LEFT(C12,LEN(C12)-1))=总览!$B$18,总览!$B$23,0)</f>
        <v/>
      </c>
      <c r="N12" s="36">
        <f>IF(B12*100+VALUE(LEFT(C12,LEN(C12)-1))&gt;总览!$B$18,总览!$B$25,0)</f>
        <v/>
      </c>
      <c r="O12" s="36">
        <f>SUM(H12:J12)+K12+M12+N12</f>
        <v/>
      </c>
      <c r="P12" s="36">
        <f>G12-O12</f>
        <v/>
      </c>
      <c r="Q12" s="36">
        <f>Q11+P12</f>
        <v/>
      </c>
      <c r="R12" s="36">
        <f>IF(B12*100+VALUE(LEFT(C12,LEN(C12)-1))&lt;总览!$B$18,0,IF(B12*100+VALUE(LEFT(C12,LEN(C12)-1))=总览!$B$18,总览!$B$24,R11-(总览!$B$25-R11*总览!$B$22/12)))</f>
        <v/>
      </c>
    </row>
    <row r="13">
      <c r="A13" s="31" t="n">
        <v>12</v>
      </c>
      <c r="B13" s="31" t="n">
        <v>2027</v>
      </c>
      <c r="C13" s="31" t="inlineStr">
        <is>
          <t>1月</t>
        </is>
      </c>
      <c r="D13" s="32">
        <f>IF(AND(总览!$L$6&lt;&gt;"",B13*100+VALUE(LEFT(C13,LEN(C13)-1))&gt;=总览!$L$6),总览!$M$6,IF(AND(总览!$J$6&lt;&gt;"",B13*100+VALUE(LEFT(C13,LEN(C13)-1))&gt;=总览!$J$6),总览!$K$6,IF(AND(总览!$H$6&lt;&gt;"",B13*100+VALUE(LEFT(C13,LEN(C13)-1))&gt;=总览!$H$6),总览!$I$6,IF(AND(总览!$F$6&lt;&gt;"",B13*100+VALUE(LEFT(C13,LEN(C13)-1))&gt;=总览!$F$6),总览!$G$6,IF(AND(总览!$D$6&lt;&gt;"",B13*100+VALUE(LEFT(C13,LEN(C13)-1))&gt;=总览!$D$6),总览!$E$6,总览!$B$6)))))</f>
        <v/>
      </c>
      <c r="E13" s="32">
        <f>IF(C13="12月",IF(AND(总览!$L$7&lt;&gt;"",B13*100+VALUE(LEFT(C13,LEN(C13)-1))&gt;=总览!$L$7),总览!$M$7,IF(AND(总览!$J$7&lt;&gt;"",B13*100+VALUE(LEFT(C13,LEN(C13)-1))&gt;=总览!$J$7),总览!$K$7,IF(AND(总览!$H$7&lt;&gt;"",B13*100+VALUE(LEFT(C13,LEN(C13)-1))&gt;=总览!$H$7),总览!$I$7,IF(AND(总览!$F$7&lt;&gt;"",B13*100+VALUE(LEFT(C13,LEN(C13)-1))&gt;=总览!$F$7),总览!$G$7,IF(AND(总览!$D$7&lt;&gt;"",B13*100+VALUE(LEFT(C13,LEN(C13)-1))&gt;=总览!$D$7),总览!$E$7,总览!$B$7))))),0)</f>
        <v/>
      </c>
      <c r="F13" s="32">
        <f>ROUND(Q12*总览!$B$14/12,0)</f>
        <v/>
      </c>
      <c r="G13" s="32">
        <f>D13+E13+F13</f>
        <v/>
      </c>
      <c r="H13" s="32">
        <f>IF(OR(B13&gt;2027,AND(B13=2027,VALUE(LEFT(C13,LEN(C13)-1))&gt;=9)),IF(AND(总览!$L$10&lt;&gt;"",B13*100+VALUE(LEFT(C13,LEN(C13)-1))&gt;=总览!$L$10),总览!$M$10,IF(AND(总览!$J$10&lt;&gt;"",B13*100+VALUE(LEFT(C13,LEN(C13)-1))&gt;=总览!$J$10),总览!$K$10,IF(AND(总览!$H$10&lt;&gt;"",B13*100+VALUE(LEFT(C13,LEN(C13)-1))&gt;=总览!$H$10),总览!$I$10,IF(AND(总览!$F$10&lt;&gt;"",B13*100+VALUE(LEFT(C13,LEN(C13)-1))&gt;=总览!$F$10),总览!$G$10,IF(AND(总览!$D$10&lt;&gt;"",B13*100+VALUE(LEFT(C13,LEN(C13)-1))&gt;=总览!$D$10),总览!$E$10,总览!$B$10))))),IF(AND(总览!$L$9&lt;&gt;"",B13*100+VALUE(LEFT(C13,LEN(C13)-1))&gt;=总览!$L$9),总览!$M$9,IF(AND(总览!$J$9&lt;&gt;"",B13*100+VALUE(LEFT(C13,LEN(C13)-1))&gt;=总览!$J$9),总览!$K$9,IF(AND(总览!$H$9&lt;&gt;"",B13*100+VALUE(LEFT(C13,LEN(C13)-1))&gt;=总览!$H$9),总览!$I$9,IF(AND(总览!$F$9&lt;&gt;"",B13*100+VALUE(LEFT(C13,LEN(C13)-1))&gt;=总览!$F$9),总览!$G$9,IF(AND(总览!$D$9&lt;&gt;"",B13*100+VALUE(LEFT(C13,LEN(C13)-1))&gt;=总览!$D$9),总览!$E$9,总览!$B$9))))))</f>
        <v/>
      </c>
      <c r="I13" s="32">
        <f>IF(AND(总览!$L$11&lt;&gt;"",B13*100+VALUE(LEFT(C13,LEN(C13)-1))&gt;=总览!$L$11),总览!$M$11,IF(AND(总览!$J$11&lt;&gt;"",B13*100+VALUE(LEFT(C13,LEN(C13)-1))&gt;=总览!$J$11),总览!$K$11,IF(AND(总览!$H$11&lt;&gt;"",B13*100+VALUE(LEFT(C13,LEN(C13)-1))&gt;=总览!$H$11),总览!$I$11,IF(AND(总览!$F$11&lt;&gt;"",B13*100+VALUE(LEFT(C13,LEN(C13)-1))&gt;=总览!$F$11),总览!$G$11,IF(AND(总览!$D$11&lt;&gt;"",B13*100+VALUE(LEFT(C13,LEN(C13)-1))&gt;=总览!$D$11),总览!$E$11,总览!$B$11)))))</f>
        <v/>
      </c>
      <c r="J13" s="32">
        <f>IF(OR(B13&gt;2027,AND(B13=2027,VALUE(LEFT(C13,LEN(C13)-1))&gt;=9)),IF(AND(总览!$L$12&lt;&gt;"",B13*100+VALUE(LEFT(C13,LEN(C13)-1))&gt;=总览!$L$12),总览!$M$12,IF(AND(总览!$J$12&lt;&gt;"",B13*100+VALUE(LEFT(C13,LEN(C13)-1))&gt;=总览!$J$12),总览!$K$12,IF(AND(总览!$H$12&lt;&gt;"",B13*100+VALUE(LEFT(C13,LEN(C13)-1))&gt;=总览!$H$12),总览!$I$12,IF(AND(总览!$F$12&lt;&gt;"",B13*100+VALUE(LEFT(C13,LEN(C13)-1))&gt;=总览!$F$12),总览!$G$12,IF(AND(总览!$D$12&lt;&gt;"",B13*100+VALUE(LEFT(C13,LEN(C13)-1))&gt;=总览!$D$12),总览!$E$12,总览!$B$12))))),0)</f>
        <v/>
      </c>
      <c r="K13" s="32">
        <f>IF(AND(B13=2026,C13="5月"),120000,IF(AND(B13=2027,C13="9月"),30000,IF(C13="10月",IF(AND(总览!$L$13&lt;&gt;"",B13*100+VALUE(LEFT(C13,LEN(C13)-1))&gt;=总览!$L$13),总览!$M$13,IF(AND(总览!$J$13&lt;&gt;"",B13*100+VALUE(LEFT(C13,LEN(C13)-1))&gt;=总览!$J$13),总览!$K$13,IF(AND(总览!$H$13&lt;&gt;"",B13*100+VALUE(LEFT(C13,LEN(C13)-1))&gt;=总览!$H$13),总览!$I$13,IF(AND(总览!$F$13&lt;&gt;"",B13*100+VALUE(LEFT(C13,LEN(C13)-1))&gt;=总览!$F$13),总览!$G$13,IF(AND(总览!$D$13&lt;&gt;"",B13*100+VALUE(LEFT(C13,LEN(C13)-1))&gt;=总览!$D$13),总览!$E$13,总览!$B$13))))),0)))</f>
        <v/>
      </c>
      <c r="L13" s="31" t="inlineStr"/>
      <c r="M13" s="32">
        <f>IF(B13*100+VALUE(LEFT(C13,LEN(C13)-1))=总览!$B$18,总览!$B$23,0)</f>
        <v/>
      </c>
      <c r="N13" s="32">
        <f>IF(B13*100+VALUE(LEFT(C13,LEN(C13)-1))&gt;总览!$B$18,总览!$B$25,0)</f>
        <v/>
      </c>
      <c r="O13" s="32">
        <f>SUM(H13:J13)+K13+M13+N13</f>
        <v/>
      </c>
      <c r="P13" s="32">
        <f>G13-O13</f>
        <v/>
      </c>
      <c r="Q13" s="32">
        <f>Q12+P13</f>
        <v/>
      </c>
      <c r="R13" s="32">
        <f>IF(B13*100+VALUE(LEFT(C13,LEN(C13)-1))&lt;总览!$B$18,0,IF(B13*100+VALUE(LEFT(C13,LEN(C13)-1))=总览!$B$18,总览!$B$24,R12-(总览!$B$25-R12*总览!$B$22/12)))</f>
        <v/>
      </c>
    </row>
    <row r="14">
      <c r="A14" s="30" t="n">
        <v>13</v>
      </c>
      <c r="B14" s="30" t="n">
        <v>2027</v>
      </c>
      <c r="C14" s="30" t="inlineStr">
        <is>
          <t>2月</t>
        </is>
      </c>
      <c r="D14" s="11">
        <f>IF(AND(总览!$L$6&lt;&gt;"",B14*100+VALUE(LEFT(C14,LEN(C14)-1))&gt;=总览!$L$6),总览!$M$6,IF(AND(总览!$J$6&lt;&gt;"",B14*100+VALUE(LEFT(C14,LEN(C14)-1))&gt;=总览!$J$6),总览!$K$6,IF(AND(总览!$H$6&lt;&gt;"",B14*100+VALUE(LEFT(C14,LEN(C14)-1))&gt;=总览!$H$6),总览!$I$6,IF(AND(总览!$F$6&lt;&gt;"",B14*100+VALUE(LEFT(C14,LEN(C14)-1))&gt;=总览!$F$6),总览!$G$6,IF(AND(总览!$D$6&lt;&gt;"",B14*100+VALUE(LEFT(C14,LEN(C14)-1))&gt;=总览!$D$6),总览!$E$6,总览!$B$6)))))</f>
        <v/>
      </c>
      <c r="E14" s="11">
        <f>IF(C14="12月",IF(AND(总览!$L$7&lt;&gt;"",B14*100+VALUE(LEFT(C14,LEN(C14)-1))&gt;=总览!$L$7),总览!$M$7,IF(AND(总览!$J$7&lt;&gt;"",B14*100+VALUE(LEFT(C14,LEN(C14)-1))&gt;=总览!$J$7),总览!$K$7,IF(AND(总览!$H$7&lt;&gt;"",B14*100+VALUE(LEFT(C14,LEN(C14)-1))&gt;=总览!$H$7),总览!$I$7,IF(AND(总览!$F$7&lt;&gt;"",B14*100+VALUE(LEFT(C14,LEN(C14)-1))&gt;=总览!$F$7),总览!$G$7,IF(AND(总览!$D$7&lt;&gt;"",B14*100+VALUE(LEFT(C14,LEN(C14)-1))&gt;=总览!$D$7),总览!$E$7,总览!$B$7))))),0)</f>
        <v/>
      </c>
      <c r="F14" s="11">
        <f>ROUND(Q13*总览!$B$14/12,0)</f>
        <v/>
      </c>
      <c r="G14" s="11">
        <f>D14+E14+F14</f>
        <v/>
      </c>
      <c r="H14" s="11">
        <f>IF(OR(B14&gt;2027,AND(B14=2027,VALUE(LEFT(C14,LEN(C14)-1))&gt;=9)),IF(AND(总览!$L$10&lt;&gt;"",B14*100+VALUE(LEFT(C14,LEN(C14)-1))&gt;=总览!$L$10),总览!$M$10,IF(AND(总览!$J$10&lt;&gt;"",B14*100+VALUE(LEFT(C14,LEN(C14)-1))&gt;=总览!$J$10),总览!$K$10,IF(AND(总览!$H$10&lt;&gt;"",B14*100+VALUE(LEFT(C14,LEN(C14)-1))&gt;=总览!$H$10),总览!$I$10,IF(AND(总览!$F$10&lt;&gt;"",B14*100+VALUE(LEFT(C14,LEN(C14)-1))&gt;=总览!$F$10),总览!$G$10,IF(AND(总览!$D$10&lt;&gt;"",B14*100+VALUE(LEFT(C14,LEN(C14)-1))&gt;=总览!$D$10),总览!$E$10,总览!$B$10))))),IF(AND(总览!$L$9&lt;&gt;"",B14*100+VALUE(LEFT(C14,LEN(C14)-1))&gt;=总览!$L$9),总览!$M$9,IF(AND(总览!$J$9&lt;&gt;"",B14*100+VALUE(LEFT(C14,LEN(C14)-1))&gt;=总览!$J$9),总览!$K$9,IF(AND(总览!$H$9&lt;&gt;"",B14*100+VALUE(LEFT(C14,LEN(C14)-1))&gt;=总览!$H$9),总览!$I$9,IF(AND(总览!$F$9&lt;&gt;"",B14*100+VALUE(LEFT(C14,LEN(C14)-1))&gt;=总览!$F$9),总览!$G$9,IF(AND(总览!$D$9&lt;&gt;"",B14*100+VALUE(LEFT(C14,LEN(C14)-1))&gt;=总览!$D$9),总览!$E$9,总览!$B$9))))))</f>
        <v/>
      </c>
      <c r="I14" s="11">
        <f>IF(AND(总览!$L$11&lt;&gt;"",B14*100+VALUE(LEFT(C14,LEN(C14)-1))&gt;=总览!$L$11),总览!$M$11,IF(AND(总览!$J$11&lt;&gt;"",B14*100+VALUE(LEFT(C14,LEN(C14)-1))&gt;=总览!$J$11),总览!$K$11,IF(AND(总览!$H$11&lt;&gt;"",B14*100+VALUE(LEFT(C14,LEN(C14)-1))&gt;=总览!$H$11),总览!$I$11,IF(AND(总览!$F$11&lt;&gt;"",B14*100+VALUE(LEFT(C14,LEN(C14)-1))&gt;=总览!$F$11),总览!$G$11,IF(AND(总览!$D$11&lt;&gt;"",B14*100+VALUE(LEFT(C14,LEN(C14)-1))&gt;=总览!$D$11),总览!$E$11,总览!$B$11)))))</f>
        <v/>
      </c>
      <c r="J14" s="11">
        <f>IF(OR(B14&gt;2027,AND(B14=2027,VALUE(LEFT(C14,LEN(C14)-1))&gt;=9)),IF(AND(总览!$L$12&lt;&gt;"",B14*100+VALUE(LEFT(C14,LEN(C14)-1))&gt;=总览!$L$12),总览!$M$12,IF(AND(总览!$J$12&lt;&gt;"",B14*100+VALUE(LEFT(C14,LEN(C14)-1))&gt;=总览!$J$12),总览!$K$12,IF(AND(总览!$H$12&lt;&gt;"",B14*100+VALUE(LEFT(C14,LEN(C14)-1))&gt;=总览!$H$12),总览!$I$12,IF(AND(总览!$F$12&lt;&gt;"",B14*100+VALUE(LEFT(C14,LEN(C14)-1))&gt;=总览!$F$12),总览!$G$12,IF(AND(总览!$D$12&lt;&gt;"",B14*100+VALUE(LEFT(C14,LEN(C14)-1))&gt;=总览!$D$12),总览!$E$12,总览!$B$12))))),0)</f>
        <v/>
      </c>
      <c r="K14" s="11">
        <f>IF(AND(B14=2026,C14="5月"),120000,IF(AND(B14=2027,C14="9月"),30000,IF(C14="10月",IF(AND(总览!$L$13&lt;&gt;"",B14*100+VALUE(LEFT(C14,LEN(C14)-1))&gt;=总览!$L$13),总览!$M$13,IF(AND(总览!$J$13&lt;&gt;"",B14*100+VALUE(LEFT(C14,LEN(C14)-1))&gt;=总览!$J$13),总览!$K$13,IF(AND(总览!$H$13&lt;&gt;"",B14*100+VALUE(LEFT(C14,LEN(C14)-1))&gt;=总览!$H$13),总览!$I$13,IF(AND(总览!$F$13&lt;&gt;"",B14*100+VALUE(LEFT(C14,LEN(C14)-1))&gt;=总览!$F$13),总览!$G$13,IF(AND(总览!$D$13&lt;&gt;"",B14*100+VALUE(LEFT(C14,LEN(C14)-1))&gt;=总览!$D$13),总览!$E$13,总览!$B$13))))),0)))</f>
        <v/>
      </c>
      <c r="L14" s="30" t="inlineStr"/>
      <c r="M14" s="11">
        <f>IF(B14*100+VALUE(LEFT(C14,LEN(C14)-1))=总览!$B$18,总览!$B$23,0)</f>
        <v/>
      </c>
      <c r="N14" s="11">
        <f>IF(B14*100+VALUE(LEFT(C14,LEN(C14)-1))&gt;总览!$B$18,总览!$B$25,0)</f>
        <v/>
      </c>
      <c r="O14" s="11">
        <f>SUM(H14:J14)+K14+M14+N14</f>
        <v/>
      </c>
      <c r="P14" s="11">
        <f>G14-O14</f>
        <v/>
      </c>
      <c r="Q14" s="11">
        <f>Q13+P14</f>
        <v/>
      </c>
      <c r="R14" s="11">
        <f>IF(B14*100+VALUE(LEFT(C14,LEN(C14)-1))&lt;总览!$B$18,0,IF(B14*100+VALUE(LEFT(C14,LEN(C14)-1))=总览!$B$18,总览!$B$24,R13-(总览!$B$25-R13*总览!$B$22/12)))</f>
        <v/>
      </c>
    </row>
    <row r="15">
      <c r="A15" s="31" t="n">
        <v>14</v>
      </c>
      <c r="B15" s="31" t="n">
        <v>2027</v>
      </c>
      <c r="C15" s="31" t="inlineStr">
        <is>
          <t>3月</t>
        </is>
      </c>
      <c r="D15" s="32">
        <f>IF(AND(总览!$L$6&lt;&gt;"",B15*100+VALUE(LEFT(C15,LEN(C15)-1))&gt;=总览!$L$6),总览!$M$6,IF(AND(总览!$J$6&lt;&gt;"",B15*100+VALUE(LEFT(C15,LEN(C15)-1))&gt;=总览!$J$6),总览!$K$6,IF(AND(总览!$H$6&lt;&gt;"",B15*100+VALUE(LEFT(C15,LEN(C15)-1))&gt;=总览!$H$6),总览!$I$6,IF(AND(总览!$F$6&lt;&gt;"",B15*100+VALUE(LEFT(C15,LEN(C15)-1))&gt;=总览!$F$6),总览!$G$6,IF(AND(总览!$D$6&lt;&gt;"",B15*100+VALUE(LEFT(C15,LEN(C15)-1))&gt;=总览!$D$6),总览!$E$6,总览!$B$6)))))</f>
        <v/>
      </c>
      <c r="E15" s="32">
        <f>IF(C15="12月",IF(AND(总览!$L$7&lt;&gt;"",B15*100+VALUE(LEFT(C15,LEN(C15)-1))&gt;=总览!$L$7),总览!$M$7,IF(AND(总览!$J$7&lt;&gt;"",B15*100+VALUE(LEFT(C15,LEN(C15)-1))&gt;=总览!$J$7),总览!$K$7,IF(AND(总览!$H$7&lt;&gt;"",B15*100+VALUE(LEFT(C15,LEN(C15)-1))&gt;=总览!$H$7),总览!$I$7,IF(AND(总览!$F$7&lt;&gt;"",B15*100+VALUE(LEFT(C15,LEN(C15)-1))&gt;=总览!$F$7),总览!$G$7,IF(AND(总览!$D$7&lt;&gt;"",B15*100+VALUE(LEFT(C15,LEN(C15)-1))&gt;=总览!$D$7),总览!$E$7,总览!$B$7))))),0)</f>
        <v/>
      </c>
      <c r="F15" s="32">
        <f>ROUND(Q14*总览!$B$14/12,0)</f>
        <v/>
      </c>
      <c r="G15" s="32">
        <f>D15+E15+F15</f>
        <v/>
      </c>
      <c r="H15" s="32">
        <f>IF(OR(B15&gt;2027,AND(B15=2027,VALUE(LEFT(C15,LEN(C15)-1))&gt;=9)),IF(AND(总览!$L$10&lt;&gt;"",B15*100+VALUE(LEFT(C15,LEN(C15)-1))&gt;=总览!$L$10),总览!$M$10,IF(AND(总览!$J$10&lt;&gt;"",B15*100+VALUE(LEFT(C15,LEN(C15)-1))&gt;=总览!$J$10),总览!$K$10,IF(AND(总览!$H$10&lt;&gt;"",B15*100+VALUE(LEFT(C15,LEN(C15)-1))&gt;=总览!$H$10),总览!$I$10,IF(AND(总览!$F$10&lt;&gt;"",B15*100+VALUE(LEFT(C15,LEN(C15)-1))&gt;=总览!$F$10),总览!$G$10,IF(AND(总览!$D$10&lt;&gt;"",B15*100+VALUE(LEFT(C15,LEN(C15)-1))&gt;=总览!$D$10),总览!$E$10,总览!$B$10))))),IF(AND(总览!$L$9&lt;&gt;"",B15*100+VALUE(LEFT(C15,LEN(C15)-1))&gt;=总览!$L$9),总览!$M$9,IF(AND(总览!$J$9&lt;&gt;"",B15*100+VALUE(LEFT(C15,LEN(C15)-1))&gt;=总览!$J$9),总览!$K$9,IF(AND(总览!$H$9&lt;&gt;"",B15*100+VALUE(LEFT(C15,LEN(C15)-1))&gt;=总览!$H$9),总览!$I$9,IF(AND(总览!$F$9&lt;&gt;"",B15*100+VALUE(LEFT(C15,LEN(C15)-1))&gt;=总览!$F$9),总览!$G$9,IF(AND(总览!$D$9&lt;&gt;"",B15*100+VALUE(LEFT(C15,LEN(C15)-1))&gt;=总览!$D$9),总览!$E$9,总览!$B$9))))))</f>
        <v/>
      </c>
      <c r="I15" s="32">
        <f>IF(AND(总览!$L$11&lt;&gt;"",B15*100+VALUE(LEFT(C15,LEN(C15)-1))&gt;=总览!$L$11),总览!$M$11,IF(AND(总览!$J$11&lt;&gt;"",B15*100+VALUE(LEFT(C15,LEN(C15)-1))&gt;=总览!$J$11),总览!$K$11,IF(AND(总览!$H$11&lt;&gt;"",B15*100+VALUE(LEFT(C15,LEN(C15)-1))&gt;=总览!$H$11),总览!$I$11,IF(AND(总览!$F$11&lt;&gt;"",B15*100+VALUE(LEFT(C15,LEN(C15)-1))&gt;=总览!$F$11),总览!$G$11,IF(AND(总览!$D$11&lt;&gt;"",B15*100+VALUE(LEFT(C15,LEN(C15)-1))&gt;=总览!$D$11),总览!$E$11,总览!$B$11)))))</f>
        <v/>
      </c>
      <c r="J15" s="32">
        <f>IF(OR(B15&gt;2027,AND(B15=2027,VALUE(LEFT(C15,LEN(C15)-1))&gt;=9)),IF(AND(总览!$L$12&lt;&gt;"",B15*100+VALUE(LEFT(C15,LEN(C15)-1))&gt;=总览!$L$12),总览!$M$12,IF(AND(总览!$J$12&lt;&gt;"",B15*100+VALUE(LEFT(C15,LEN(C15)-1))&gt;=总览!$J$12),总览!$K$12,IF(AND(总览!$H$12&lt;&gt;"",B15*100+VALUE(LEFT(C15,LEN(C15)-1))&gt;=总览!$H$12),总览!$I$12,IF(AND(总览!$F$12&lt;&gt;"",B15*100+VALUE(LEFT(C15,LEN(C15)-1))&gt;=总览!$F$12),总览!$G$12,IF(AND(总览!$D$12&lt;&gt;"",B15*100+VALUE(LEFT(C15,LEN(C15)-1))&gt;=总览!$D$12),总览!$E$12,总览!$B$12))))),0)</f>
        <v/>
      </c>
      <c r="K15" s="32">
        <f>IF(AND(B15=2026,C15="5月"),120000,IF(AND(B15=2027,C15="9月"),30000,IF(C15="10月",IF(AND(总览!$L$13&lt;&gt;"",B15*100+VALUE(LEFT(C15,LEN(C15)-1))&gt;=总览!$L$13),总览!$M$13,IF(AND(总览!$J$13&lt;&gt;"",B15*100+VALUE(LEFT(C15,LEN(C15)-1))&gt;=总览!$J$13),总览!$K$13,IF(AND(总览!$H$13&lt;&gt;"",B15*100+VALUE(LEFT(C15,LEN(C15)-1))&gt;=总览!$H$13),总览!$I$13,IF(AND(总览!$F$13&lt;&gt;"",B15*100+VALUE(LEFT(C15,LEN(C15)-1))&gt;=总览!$F$13),总览!$G$13,IF(AND(总览!$D$13&lt;&gt;"",B15*100+VALUE(LEFT(C15,LEN(C15)-1))&gt;=总览!$D$13),总览!$E$13,总览!$B$13))))),0)))</f>
        <v/>
      </c>
      <c r="L15" s="31" t="inlineStr"/>
      <c r="M15" s="32">
        <f>IF(B15*100+VALUE(LEFT(C15,LEN(C15)-1))=总览!$B$18,总览!$B$23,0)</f>
        <v/>
      </c>
      <c r="N15" s="32">
        <f>IF(B15*100+VALUE(LEFT(C15,LEN(C15)-1))&gt;总览!$B$18,总览!$B$25,0)</f>
        <v/>
      </c>
      <c r="O15" s="32">
        <f>SUM(H15:J15)+K15+M15+N15</f>
        <v/>
      </c>
      <c r="P15" s="32">
        <f>G15-O15</f>
        <v/>
      </c>
      <c r="Q15" s="32">
        <f>Q14+P15</f>
        <v/>
      </c>
      <c r="R15" s="32">
        <f>IF(B15*100+VALUE(LEFT(C15,LEN(C15)-1))&lt;总览!$B$18,0,IF(B15*100+VALUE(LEFT(C15,LEN(C15)-1))=总览!$B$18,总览!$B$24,R14-(总览!$B$25-R14*总览!$B$22/12)))</f>
        <v/>
      </c>
    </row>
    <row r="16">
      <c r="A16" s="30" t="n">
        <v>15</v>
      </c>
      <c r="B16" s="30" t="n">
        <v>2027</v>
      </c>
      <c r="C16" s="30" t="inlineStr">
        <is>
          <t>4月</t>
        </is>
      </c>
      <c r="D16" s="11">
        <f>IF(AND(总览!$L$6&lt;&gt;"",B16*100+VALUE(LEFT(C16,LEN(C16)-1))&gt;=总览!$L$6),总览!$M$6,IF(AND(总览!$J$6&lt;&gt;"",B16*100+VALUE(LEFT(C16,LEN(C16)-1))&gt;=总览!$J$6),总览!$K$6,IF(AND(总览!$H$6&lt;&gt;"",B16*100+VALUE(LEFT(C16,LEN(C16)-1))&gt;=总览!$H$6),总览!$I$6,IF(AND(总览!$F$6&lt;&gt;"",B16*100+VALUE(LEFT(C16,LEN(C16)-1))&gt;=总览!$F$6),总览!$G$6,IF(AND(总览!$D$6&lt;&gt;"",B16*100+VALUE(LEFT(C16,LEN(C16)-1))&gt;=总览!$D$6),总览!$E$6,总览!$B$6)))))</f>
        <v/>
      </c>
      <c r="E16" s="11">
        <f>IF(C16="12月",IF(AND(总览!$L$7&lt;&gt;"",B16*100+VALUE(LEFT(C16,LEN(C16)-1))&gt;=总览!$L$7),总览!$M$7,IF(AND(总览!$J$7&lt;&gt;"",B16*100+VALUE(LEFT(C16,LEN(C16)-1))&gt;=总览!$J$7),总览!$K$7,IF(AND(总览!$H$7&lt;&gt;"",B16*100+VALUE(LEFT(C16,LEN(C16)-1))&gt;=总览!$H$7),总览!$I$7,IF(AND(总览!$F$7&lt;&gt;"",B16*100+VALUE(LEFT(C16,LEN(C16)-1))&gt;=总览!$F$7),总览!$G$7,IF(AND(总览!$D$7&lt;&gt;"",B16*100+VALUE(LEFT(C16,LEN(C16)-1))&gt;=总览!$D$7),总览!$E$7,总览!$B$7))))),0)</f>
        <v/>
      </c>
      <c r="F16" s="11">
        <f>ROUND(Q15*总览!$B$14/12,0)</f>
        <v/>
      </c>
      <c r="G16" s="11">
        <f>D16+E16+F16</f>
        <v/>
      </c>
      <c r="H16" s="11">
        <f>IF(OR(B16&gt;2027,AND(B16=2027,VALUE(LEFT(C16,LEN(C16)-1))&gt;=9)),IF(AND(总览!$L$10&lt;&gt;"",B16*100+VALUE(LEFT(C16,LEN(C16)-1))&gt;=总览!$L$10),总览!$M$10,IF(AND(总览!$J$10&lt;&gt;"",B16*100+VALUE(LEFT(C16,LEN(C16)-1))&gt;=总览!$J$10),总览!$K$10,IF(AND(总览!$H$10&lt;&gt;"",B16*100+VALUE(LEFT(C16,LEN(C16)-1))&gt;=总览!$H$10),总览!$I$10,IF(AND(总览!$F$10&lt;&gt;"",B16*100+VALUE(LEFT(C16,LEN(C16)-1))&gt;=总览!$F$10),总览!$G$10,IF(AND(总览!$D$10&lt;&gt;"",B16*100+VALUE(LEFT(C16,LEN(C16)-1))&gt;=总览!$D$10),总览!$E$10,总览!$B$10))))),IF(AND(总览!$L$9&lt;&gt;"",B16*100+VALUE(LEFT(C16,LEN(C16)-1))&gt;=总览!$L$9),总览!$M$9,IF(AND(总览!$J$9&lt;&gt;"",B16*100+VALUE(LEFT(C16,LEN(C16)-1))&gt;=总览!$J$9),总览!$K$9,IF(AND(总览!$H$9&lt;&gt;"",B16*100+VALUE(LEFT(C16,LEN(C16)-1))&gt;=总览!$H$9),总览!$I$9,IF(AND(总览!$F$9&lt;&gt;"",B16*100+VALUE(LEFT(C16,LEN(C16)-1))&gt;=总览!$F$9),总览!$G$9,IF(AND(总览!$D$9&lt;&gt;"",B16*100+VALUE(LEFT(C16,LEN(C16)-1))&gt;=总览!$D$9),总览!$E$9,总览!$B$9))))))</f>
        <v/>
      </c>
      <c r="I16" s="11">
        <f>IF(AND(总览!$L$11&lt;&gt;"",B16*100+VALUE(LEFT(C16,LEN(C16)-1))&gt;=总览!$L$11),总览!$M$11,IF(AND(总览!$J$11&lt;&gt;"",B16*100+VALUE(LEFT(C16,LEN(C16)-1))&gt;=总览!$J$11),总览!$K$11,IF(AND(总览!$H$11&lt;&gt;"",B16*100+VALUE(LEFT(C16,LEN(C16)-1))&gt;=总览!$H$11),总览!$I$11,IF(AND(总览!$F$11&lt;&gt;"",B16*100+VALUE(LEFT(C16,LEN(C16)-1))&gt;=总览!$F$11),总览!$G$11,IF(AND(总览!$D$11&lt;&gt;"",B16*100+VALUE(LEFT(C16,LEN(C16)-1))&gt;=总览!$D$11),总览!$E$11,总览!$B$11)))))</f>
        <v/>
      </c>
      <c r="J16" s="11">
        <f>IF(OR(B16&gt;2027,AND(B16=2027,VALUE(LEFT(C16,LEN(C16)-1))&gt;=9)),IF(AND(总览!$L$12&lt;&gt;"",B16*100+VALUE(LEFT(C16,LEN(C16)-1))&gt;=总览!$L$12),总览!$M$12,IF(AND(总览!$J$12&lt;&gt;"",B16*100+VALUE(LEFT(C16,LEN(C16)-1))&gt;=总览!$J$12),总览!$K$12,IF(AND(总览!$H$12&lt;&gt;"",B16*100+VALUE(LEFT(C16,LEN(C16)-1))&gt;=总览!$H$12),总览!$I$12,IF(AND(总览!$F$12&lt;&gt;"",B16*100+VALUE(LEFT(C16,LEN(C16)-1))&gt;=总览!$F$12),总览!$G$12,IF(AND(总览!$D$12&lt;&gt;"",B16*100+VALUE(LEFT(C16,LEN(C16)-1))&gt;=总览!$D$12),总览!$E$12,总览!$B$12))))),0)</f>
        <v/>
      </c>
      <c r="K16" s="11">
        <f>IF(AND(B16=2026,C16="5月"),120000,IF(AND(B16=2027,C16="9月"),30000,IF(C16="10月",IF(AND(总览!$L$13&lt;&gt;"",B16*100+VALUE(LEFT(C16,LEN(C16)-1))&gt;=总览!$L$13),总览!$M$13,IF(AND(总览!$J$13&lt;&gt;"",B16*100+VALUE(LEFT(C16,LEN(C16)-1))&gt;=总览!$J$13),总览!$K$13,IF(AND(总览!$H$13&lt;&gt;"",B16*100+VALUE(LEFT(C16,LEN(C16)-1))&gt;=总览!$H$13),总览!$I$13,IF(AND(总览!$F$13&lt;&gt;"",B16*100+VALUE(LEFT(C16,LEN(C16)-1))&gt;=总览!$F$13),总览!$G$13,IF(AND(总览!$D$13&lt;&gt;"",B16*100+VALUE(LEFT(C16,LEN(C16)-1))&gt;=总览!$D$13),总览!$E$13,总览!$B$13))))),0)))</f>
        <v/>
      </c>
      <c r="L16" s="30" t="inlineStr"/>
      <c r="M16" s="11">
        <f>IF(B16*100+VALUE(LEFT(C16,LEN(C16)-1))=总览!$B$18,总览!$B$23,0)</f>
        <v/>
      </c>
      <c r="N16" s="11">
        <f>IF(B16*100+VALUE(LEFT(C16,LEN(C16)-1))&gt;总览!$B$18,总览!$B$25,0)</f>
        <v/>
      </c>
      <c r="O16" s="11">
        <f>SUM(H16:J16)+K16+M16+N16</f>
        <v/>
      </c>
      <c r="P16" s="11">
        <f>G16-O16</f>
        <v/>
      </c>
      <c r="Q16" s="11">
        <f>Q15+P16</f>
        <v/>
      </c>
      <c r="R16" s="11">
        <f>IF(B16*100+VALUE(LEFT(C16,LEN(C16)-1))&lt;总览!$B$18,0,IF(B16*100+VALUE(LEFT(C16,LEN(C16)-1))=总览!$B$18,总览!$B$24,R15-(总览!$B$25-R15*总览!$B$22/12)))</f>
        <v/>
      </c>
    </row>
    <row r="17">
      <c r="A17" s="31" t="n">
        <v>16</v>
      </c>
      <c r="B17" s="31" t="n">
        <v>2027</v>
      </c>
      <c r="C17" s="31" t="inlineStr">
        <is>
          <t>5月</t>
        </is>
      </c>
      <c r="D17" s="32">
        <f>IF(AND(总览!$L$6&lt;&gt;"",B17*100+VALUE(LEFT(C17,LEN(C17)-1))&gt;=总览!$L$6),总览!$M$6,IF(AND(总览!$J$6&lt;&gt;"",B17*100+VALUE(LEFT(C17,LEN(C17)-1))&gt;=总览!$J$6),总览!$K$6,IF(AND(总览!$H$6&lt;&gt;"",B17*100+VALUE(LEFT(C17,LEN(C17)-1))&gt;=总览!$H$6),总览!$I$6,IF(AND(总览!$F$6&lt;&gt;"",B17*100+VALUE(LEFT(C17,LEN(C17)-1))&gt;=总览!$F$6),总览!$G$6,IF(AND(总览!$D$6&lt;&gt;"",B17*100+VALUE(LEFT(C17,LEN(C17)-1))&gt;=总览!$D$6),总览!$E$6,总览!$B$6)))))</f>
        <v/>
      </c>
      <c r="E17" s="32">
        <f>IF(C17="12月",IF(AND(总览!$L$7&lt;&gt;"",B17*100+VALUE(LEFT(C17,LEN(C17)-1))&gt;=总览!$L$7),总览!$M$7,IF(AND(总览!$J$7&lt;&gt;"",B17*100+VALUE(LEFT(C17,LEN(C17)-1))&gt;=总览!$J$7),总览!$K$7,IF(AND(总览!$H$7&lt;&gt;"",B17*100+VALUE(LEFT(C17,LEN(C17)-1))&gt;=总览!$H$7),总览!$I$7,IF(AND(总览!$F$7&lt;&gt;"",B17*100+VALUE(LEFT(C17,LEN(C17)-1))&gt;=总览!$F$7),总览!$G$7,IF(AND(总览!$D$7&lt;&gt;"",B17*100+VALUE(LEFT(C17,LEN(C17)-1))&gt;=总览!$D$7),总览!$E$7,总览!$B$7))))),0)</f>
        <v/>
      </c>
      <c r="F17" s="32">
        <f>ROUND(Q16*总览!$B$14/12,0)</f>
        <v/>
      </c>
      <c r="G17" s="32">
        <f>D17+E17+F17</f>
        <v/>
      </c>
      <c r="H17" s="32">
        <f>IF(OR(B17&gt;2027,AND(B17=2027,VALUE(LEFT(C17,LEN(C17)-1))&gt;=9)),IF(AND(总览!$L$10&lt;&gt;"",B17*100+VALUE(LEFT(C17,LEN(C17)-1))&gt;=总览!$L$10),总览!$M$10,IF(AND(总览!$J$10&lt;&gt;"",B17*100+VALUE(LEFT(C17,LEN(C17)-1))&gt;=总览!$J$10),总览!$K$10,IF(AND(总览!$H$10&lt;&gt;"",B17*100+VALUE(LEFT(C17,LEN(C17)-1))&gt;=总览!$H$10),总览!$I$10,IF(AND(总览!$F$10&lt;&gt;"",B17*100+VALUE(LEFT(C17,LEN(C17)-1))&gt;=总览!$F$10),总览!$G$10,IF(AND(总览!$D$10&lt;&gt;"",B17*100+VALUE(LEFT(C17,LEN(C17)-1))&gt;=总览!$D$10),总览!$E$10,总览!$B$10))))),IF(AND(总览!$L$9&lt;&gt;"",B17*100+VALUE(LEFT(C17,LEN(C17)-1))&gt;=总览!$L$9),总览!$M$9,IF(AND(总览!$J$9&lt;&gt;"",B17*100+VALUE(LEFT(C17,LEN(C17)-1))&gt;=总览!$J$9),总览!$K$9,IF(AND(总览!$H$9&lt;&gt;"",B17*100+VALUE(LEFT(C17,LEN(C17)-1))&gt;=总览!$H$9),总览!$I$9,IF(AND(总览!$F$9&lt;&gt;"",B17*100+VALUE(LEFT(C17,LEN(C17)-1))&gt;=总览!$F$9),总览!$G$9,IF(AND(总览!$D$9&lt;&gt;"",B17*100+VALUE(LEFT(C17,LEN(C17)-1))&gt;=总览!$D$9),总览!$E$9,总览!$B$9))))))</f>
        <v/>
      </c>
      <c r="I17" s="32">
        <f>IF(AND(总览!$L$11&lt;&gt;"",B17*100+VALUE(LEFT(C17,LEN(C17)-1))&gt;=总览!$L$11),总览!$M$11,IF(AND(总览!$J$11&lt;&gt;"",B17*100+VALUE(LEFT(C17,LEN(C17)-1))&gt;=总览!$J$11),总览!$K$11,IF(AND(总览!$H$11&lt;&gt;"",B17*100+VALUE(LEFT(C17,LEN(C17)-1))&gt;=总览!$H$11),总览!$I$11,IF(AND(总览!$F$11&lt;&gt;"",B17*100+VALUE(LEFT(C17,LEN(C17)-1))&gt;=总览!$F$11),总览!$G$11,IF(AND(总览!$D$11&lt;&gt;"",B17*100+VALUE(LEFT(C17,LEN(C17)-1))&gt;=总览!$D$11),总览!$E$11,总览!$B$11)))))</f>
        <v/>
      </c>
      <c r="J17" s="32">
        <f>IF(OR(B17&gt;2027,AND(B17=2027,VALUE(LEFT(C17,LEN(C17)-1))&gt;=9)),IF(AND(总览!$L$12&lt;&gt;"",B17*100+VALUE(LEFT(C17,LEN(C17)-1))&gt;=总览!$L$12),总览!$M$12,IF(AND(总览!$J$12&lt;&gt;"",B17*100+VALUE(LEFT(C17,LEN(C17)-1))&gt;=总览!$J$12),总览!$K$12,IF(AND(总览!$H$12&lt;&gt;"",B17*100+VALUE(LEFT(C17,LEN(C17)-1))&gt;=总览!$H$12),总览!$I$12,IF(AND(总览!$F$12&lt;&gt;"",B17*100+VALUE(LEFT(C17,LEN(C17)-1))&gt;=总览!$F$12),总览!$G$12,IF(AND(总览!$D$12&lt;&gt;"",B17*100+VALUE(LEFT(C17,LEN(C17)-1))&gt;=总览!$D$12),总览!$E$12,总览!$B$12))))),0)</f>
        <v/>
      </c>
      <c r="K17" s="32">
        <f>IF(AND(B17=2026,C17="5月"),120000,IF(AND(B17=2027,C17="9月"),30000,IF(C17="10月",IF(AND(总览!$L$13&lt;&gt;"",B17*100+VALUE(LEFT(C17,LEN(C17)-1))&gt;=总览!$L$13),总览!$M$13,IF(AND(总览!$J$13&lt;&gt;"",B17*100+VALUE(LEFT(C17,LEN(C17)-1))&gt;=总览!$J$13),总览!$K$13,IF(AND(总览!$H$13&lt;&gt;"",B17*100+VALUE(LEFT(C17,LEN(C17)-1))&gt;=总览!$H$13),总览!$I$13,IF(AND(总览!$F$13&lt;&gt;"",B17*100+VALUE(LEFT(C17,LEN(C17)-1))&gt;=总览!$F$13),总览!$G$13,IF(AND(总览!$D$13&lt;&gt;"",B17*100+VALUE(LEFT(C17,LEN(C17)-1))&gt;=总览!$D$13),总览!$E$13,总览!$B$13))))),0)))</f>
        <v/>
      </c>
      <c r="L17" s="31" t="inlineStr"/>
      <c r="M17" s="32">
        <f>IF(B17*100+VALUE(LEFT(C17,LEN(C17)-1))=总览!$B$18,总览!$B$23,0)</f>
        <v/>
      </c>
      <c r="N17" s="32">
        <f>IF(B17*100+VALUE(LEFT(C17,LEN(C17)-1))&gt;总览!$B$18,总览!$B$25,0)</f>
        <v/>
      </c>
      <c r="O17" s="32">
        <f>SUM(H17:J17)+K17+M17+N17</f>
        <v/>
      </c>
      <c r="P17" s="32">
        <f>G17-O17</f>
        <v/>
      </c>
      <c r="Q17" s="32">
        <f>Q16+P17</f>
        <v/>
      </c>
      <c r="R17" s="32">
        <f>IF(B17*100+VALUE(LEFT(C17,LEN(C17)-1))&lt;总览!$B$18,0,IF(B17*100+VALUE(LEFT(C17,LEN(C17)-1))=总览!$B$18,总览!$B$24,R16-(总览!$B$25-R16*总览!$B$22/12)))</f>
        <v/>
      </c>
    </row>
    <row r="18">
      <c r="A18" s="30" t="n">
        <v>17</v>
      </c>
      <c r="B18" s="30" t="n">
        <v>2027</v>
      </c>
      <c r="C18" s="30" t="inlineStr">
        <is>
          <t>6月</t>
        </is>
      </c>
      <c r="D18" s="11">
        <f>IF(AND(总览!$L$6&lt;&gt;"",B18*100+VALUE(LEFT(C18,LEN(C18)-1))&gt;=总览!$L$6),总览!$M$6,IF(AND(总览!$J$6&lt;&gt;"",B18*100+VALUE(LEFT(C18,LEN(C18)-1))&gt;=总览!$J$6),总览!$K$6,IF(AND(总览!$H$6&lt;&gt;"",B18*100+VALUE(LEFT(C18,LEN(C18)-1))&gt;=总览!$H$6),总览!$I$6,IF(AND(总览!$F$6&lt;&gt;"",B18*100+VALUE(LEFT(C18,LEN(C18)-1))&gt;=总览!$F$6),总览!$G$6,IF(AND(总览!$D$6&lt;&gt;"",B18*100+VALUE(LEFT(C18,LEN(C18)-1))&gt;=总览!$D$6),总览!$E$6,总览!$B$6)))))</f>
        <v/>
      </c>
      <c r="E18" s="11">
        <f>IF(C18="12月",IF(AND(总览!$L$7&lt;&gt;"",B18*100+VALUE(LEFT(C18,LEN(C18)-1))&gt;=总览!$L$7),总览!$M$7,IF(AND(总览!$J$7&lt;&gt;"",B18*100+VALUE(LEFT(C18,LEN(C18)-1))&gt;=总览!$J$7),总览!$K$7,IF(AND(总览!$H$7&lt;&gt;"",B18*100+VALUE(LEFT(C18,LEN(C18)-1))&gt;=总览!$H$7),总览!$I$7,IF(AND(总览!$F$7&lt;&gt;"",B18*100+VALUE(LEFT(C18,LEN(C18)-1))&gt;=总览!$F$7),总览!$G$7,IF(AND(总览!$D$7&lt;&gt;"",B18*100+VALUE(LEFT(C18,LEN(C18)-1))&gt;=总览!$D$7),总览!$E$7,总览!$B$7))))),0)</f>
        <v/>
      </c>
      <c r="F18" s="11">
        <f>ROUND(Q17*总览!$B$14/12,0)</f>
        <v/>
      </c>
      <c r="G18" s="11">
        <f>D18+E18+F18</f>
        <v/>
      </c>
      <c r="H18" s="11">
        <f>IF(OR(B18&gt;2027,AND(B18=2027,VALUE(LEFT(C18,LEN(C18)-1))&gt;=9)),IF(AND(总览!$L$10&lt;&gt;"",B18*100+VALUE(LEFT(C18,LEN(C18)-1))&gt;=总览!$L$10),总览!$M$10,IF(AND(总览!$J$10&lt;&gt;"",B18*100+VALUE(LEFT(C18,LEN(C18)-1))&gt;=总览!$J$10),总览!$K$10,IF(AND(总览!$H$10&lt;&gt;"",B18*100+VALUE(LEFT(C18,LEN(C18)-1))&gt;=总览!$H$10),总览!$I$10,IF(AND(总览!$F$10&lt;&gt;"",B18*100+VALUE(LEFT(C18,LEN(C18)-1))&gt;=总览!$F$10),总览!$G$10,IF(AND(总览!$D$10&lt;&gt;"",B18*100+VALUE(LEFT(C18,LEN(C18)-1))&gt;=总览!$D$10),总览!$E$10,总览!$B$10))))),IF(AND(总览!$L$9&lt;&gt;"",B18*100+VALUE(LEFT(C18,LEN(C18)-1))&gt;=总览!$L$9),总览!$M$9,IF(AND(总览!$J$9&lt;&gt;"",B18*100+VALUE(LEFT(C18,LEN(C18)-1))&gt;=总览!$J$9),总览!$K$9,IF(AND(总览!$H$9&lt;&gt;"",B18*100+VALUE(LEFT(C18,LEN(C18)-1))&gt;=总览!$H$9),总览!$I$9,IF(AND(总览!$F$9&lt;&gt;"",B18*100+VALUE(LEFT(C18,LEN(C18)-1))&gt;=总览!$F$9),总览!$G$9,IF(AND(总览!$D$9&lt;&gt;"",B18*100+VALUE(LEFT(C18,LEN(C18)-1))&gt;=总览!$D$9),总览!$E$9,总览!$B$9))))))</f>
        <v/>
      </c>
      <c r="I18" s="11">
        <f>IF(AND(总览!$L$11&lt;&gt;"",B18*100+VALUE(LEFT(C18,LEN(C18)-1))&gt;=总览!$L$11),总览!$M$11,IF(AND(总览!$J$11&lt;&gt;"",B18*100+VALUE(LEFT(C18,LEN(C18)-1))&gt;=总览!$J$11),总览!$K$11,IF(AND(总览!$H$11&lt;&gt;"",B18*100+VALUE(LEFT(C18,LEN(C18)-1))&gt;=总览!$H$11),总览!$I$11,IF(AND(总览!$F$11&lt;&gt;"",B18*100+VALUE(LEFT(C18,LEN(C18)-1))&gt;=总览!$F$11),总览!$G$11,IF(AND(总览!$D$11&lt;&gt;"",B18*100+VALUE(LEFT(C18,LEN(C18)-1))&gt;=总览!$D$11),总览!$E$11,总览!$B$11)))))</f>
        <v/>
      </c>
      <c r="J18" s="11">
        <f>IF(OR(B18&gt;2027,AND(B18=2027,VALUE(LEFT(C18,LEN(C18)-1))&gt;=9)),IF(AND(总览!$L$12&lt;&gt;"",B18*100+VALUE(LEFT(C18,LEN(C18)-1))&gt;=总览!$L$12),总览!$M$12,IF(AND(总览!$J$12&lt;&gt;"",B18*100+VALUE(LEFT(C18,LEN(C18)-1))&gt;=总览!$J$12),总览!$K$12,IF(AND(总览!$H$12&lt;&gt;"",B18*100+VALUE(LEFT(C18,LEN(C18)-1))&gt;=总览!$H$12),总览!$I$12,IF(AND(总览!$F$12&lt;&gt;"",B18*100+VALUE(LEFT(C18,LEN(C18)-1))&gt;=总览!$F$12),总览!$G$12,IF(AND(总览!$D$12&lt;&gt;"",B18*100+VALUE(LEFT(C18,LEN(C18)-1))&gt;=总览!$D$12),总览!$E$12,总览!$B$12))))),0)</f>
        <v/>
      </c>
      <c r="K18" s="11">
        <f>IF(AND(B18=2026,C18="5月"),120000,IF(AND(B18=2027,C18="9月"),30000,IF(C18="10月",IF(AND(总览!$L$13&lt;&gt;"",B18*100+VALUE(LEFT(C18,LEN(C18)-1))&gt;=总览!$L$13),总览!$M$13,IF(AND(总览!$J$13&lt;&gt;"",B18*100+VALUE(LEFT(C18,LEN(C18)-1))&gt;=总览!$J$13),总览!$K$13,IF(AND(总览!$H$13&lt;&gt;"",B18*100+VALUE(LEFT(C18,LEN(C18)-1))&gt;=总览!$H$13),总览!$I$13,IF(AND(总览!$F$13&lt;&gt;"",B18*100+VALUE(LEFT(C18,LEN(C18)-1))&gt;=总览!$F$13),总览!$G$13,IF(AND(总览!$D$13&lt;&gt;"",B18*100+VALUE(LEFT(C18,LEN(C18)-1))&gt;=总览!$D$13),总览!$E$13,总览!$B$13))))),0)))</f>
        <v/>
      </c>
      <c r="L18" s="30" t="inlineStr"/>
      <c r="M18" s="11">
        <f>IF(B18*100+VALUE(LEFT(C18,LEN(C18)-1))=总览!$B$18,总览!$B$23,0)</f>
        <v/>
      </c>
      <c r="N18" s="11">
        <f>IF(B18*100+VALUE(LEFT(C18,LEN(C18)-1))&gt;总览!$B$18,总览!$B$25,0)</f>
        <v/>
      </c>
      <c r="O18" s="11">
        <f>SUM(H18:J18)+K18+M18+N18</f>
        <v/>
      </c>
      <c r="P18" s="11">
        <f>G18-O18</f>
        <v/>
      </c>
      <c r="Q18" s="11">
        <f>Q17+P18</f>
        <v/>
      </c>
      <c r="R18" s="11">
        <f>IF(B18*100+VALUE(LEFT(C18,LEN(C18)-1))&lt;总览!$B$18,0,IF(B18*100+VALUE(LEFT(C18,LEN(C18)-1))=总览!$B$18,总览!$B$24,R17-(总览!$B$25-R17*总览!$B$22/12)))</f>
        <v/>
      </c>
    </row>
    <row r="19">
      <c r="A19" s="31" t="n">
        <v>18</v>
      </c>
      <c r="B19" s="31" t="n">
        <v>2027</v>
      </c>
      <c r="C19" s="31" t="inlineStr">
        <is>
          <t>7月</t>
        </is>
      </c>
      <c r="D19" s="32">
        <f>IF(AND(总览!$L$6&lt;&gt;"",B19*100+VALUE(LEFT(C19,LEN(C19)-1))&gt;=总览!$L$6),总览!$M$6,IF(AND(总览!$J$6&lt;&gt;"",B19*100+VALUE(LEFT(C19,LEN(C19)-1))&gt;=总览!$J$6),总览!$K$6,IF(AND(总览!$H$6&lt;&gt;"",B19*100+VALUE(LEFT(C19,LEN(C19)-1))&gt;=总览!$H$6),总览!$I$6,IF(AND(总览!$F$6&lt;&gt;"",B19*100+VALUE(LEFT(C19,LEN(C19)-1))&gt;=总览!$F$6),总览!$G$6,IF(AND(总览!$D$6&lt;&gt;"",B19*100+VALUE(LEFT(C19,LEN(C19)-1))&gt;=总览!$D$6),总览!$E$6,总览!$B$6)))))</f>
        <v/>
      </c>
      <c r="E19" s="32">
        <f>IF(C19="12月",IF(AND(总览!$L$7&lt;&gt;"",B19*100+VALUE(LEFT(C19,LEN(C19)-1))&gt;=总览!$L$7),总览!$M$7,IF(AND(总览!$J$7&lt;&gt;"",B19*100+VALUE(LEFT(C19,LEN(C19)-1))&gt;=总览!$J$7),总览!$K$7,IF(AND(总览!$H$7&lt;&gt;"",B19*100+VALUE(LEFT(C19,LEN(C19)-1))&gt;=总览!$H$7),总览!$I$7,IF(AND(总览!$F$7&lt;&gt;"",B19*100+VALUE(LEFT(C19,LEN(C19)-1))&gt;=总览!$F$7),总览!$G$7,IF(AND(总览!$D$7&lt;&gt;"",B19*100+VALUE(LEFT(C19,LEN(C19)-1))&gt;=总览!$D$7),总览!$E$7,总览!$B$7))))),0)</f>
        <v/>
      </c>
      <c r="F19" s="32">
        <f>ROUND(Q18*总览!$B$14/12,0)</f>
        <v/>
      </c>
      <c r="G19" s="32">
        <f>D19+E19+F19</f>
        <v/>
      </c>
      <c r="H19" s="32">
        <f>IF(OR(B19&gt;2027,AND(B19=2027,VALUE(LEFT(C19,LEN(C19)-1))&gt;=9)),IF(AND(总览!$L$10&lt;&gt;"",B19*100+VALUE(LEFT(C19,LEN(C19)-1))&gt;=总览!$L$10),总览!$M$10,IF(AND(总览!$J$10&lt;&gt;"",B19*100+VALUE(LEFT(C19,LEN(C19)-1))&gt;=总览!$J$10),总览!$K$10,IF(AND(总览!$H$10&lt;&gt;"",B19*100+VALUE(LEFT(C19,LEN(C19)-1))&gt;=总览!$H$10),总览!$I$10,IF(AND(总览!$F$10&lt;&gt;"",B19*100+VALUE(LEFT(C19,LEN(C19)-1))&gt;=总览!$F$10),总览!$G$10,IF(AND(总览!$D$10&lt;&gt;"",B19*100+VALUE(LEFT(C19,LEN(C19)-1))&gt;=总览!$D$10),总览!$E$10,总览!$B$10))))),IF(AND(总览!$L$9&lt;&gt;"",B19*100+VALUE(LEFT(C19,LEN(C19)-1))&gt;=总览!$L$9),总览!$M$9,IF(AND(总览!$J$9&lt;&gt;"",B19*100+VALUE(LEFT(C19,LEN(C19)-1))&gt;=总览!$J$9),总览!$K$9,IF(AND(总览!$H$9&lt;&gt;"",B19*100+VALUE(LEFT(C19,LEN(C19)-1))&gt;=总览!$H$9),总览!$I$9,IF(AND(总览!$F$9&lt;&gt;"",B19*100+VALUE(LEFT(C19,LEN(C19)-1))&gt;=总览!$F$9),总览!$G$9,IF(AND(总览!$D$9&lt;&gt;"",B19*100+VALUE(LEFT(C19,LEN(C19)-1))&gt;=总览!$D$9),总览!$E$9,总览!$B$9))))))</f>
        <v/>
      </c>
      <c r="I19" s="32">
        <f>IF(AND(总览!$L$11&lt;&gt;"",B19*100+VALUE(LEFT(C19,LEN(C19)-1))&gt;=总览!$L$11),总览!$M$11,IF(AND(总览!$J$11&lt;&gt;"",B19*100+VALUE(LEFT(C19,LEN(C19)-1))&gt;=总览!$J$11),总览!$K$11,IF(AND(总览!$H$11&lt;&gt;"",B19*100+VALUE(LEFT(C19,LEN(C19)-1))&gt;=总览!$H$11),总览!$I$11,IF(AND(总览!$F$11&lt;&gt;"",B19*100+VALUE(LEFT(C19,LEN(C19)-1))&gt;=总览!$F$11),总览!$G$11,IF(AND(总览!$D$11&lt;&gt;"",B19*100+VALUE(LEFT(C19,LEN(C19)-1))&gt;=总览!$D$11),总览!$E$11,总览!$B$11)))))</f>
        <v/>
      </c>
      <c r="J19" s="32">
        <f>IF(OR(B19&gt;2027,AND(B19=2027,VALUE(LEFT(C19,LEN(C19)-1))&gt;=9)),IF(AND(总览!$L$12&lt;&gt;"",B19*100+VALUE(LEFT(C19,LEN(C19)-1))&gt;=总览!$L$12),总览!$M$12,IF(AND(总览!$J$12&lt;&gt;"",B19*100+VALUE(LEFT(C19,LEN(C19)-1))&gt;=总览!$J$12),总览!$K$12,IF(AND(总览!$H$12&lt;&gt;"",B19*100+VALUE(LEFT(C19,LEN(C19)-1))&gt;=总览!$H$12),总览!$I$12,IF(AND(总览!$F$12&lt;&gt;"",B19*100+VALUE(LEFT(C19,LEN(C19)-1))&gt;=总览!$F$12),总览!$G$12,IF(AND(总览!$D$12&lt;&gt;"",B19*100+VALUE(LEFT(C19,LEN(C19)-1))&gt;=总览!$D$12),总览!$E$12,总览!$B$12))))),0)</f>
        <v/>
      </c>
      <c r="K19" s="32">
        <f>IF(AND(B19=2026,C19="5月"),120000,IF(AND(B19=2027,C19="9月"),30000,IF(C19="10月",IF(AND(总览!$L$13&lt;&gt;"",B19*100+VALUE(LEFT(C19,LEN(C19)-1))&gt;=总览!$L$13),总览!$M$13,IF(AND(总览!$J$13&lt;&gt;"",B19*100+VALUE(LEFT(C19,LEN(C19)-1))&gt;=总览!$J$13),总览!$K$13,IF(AND(总览!$H$13&lt;&gt;"",B19*100+VALUE(LEFT(C19,LEN(C19)-1))&gt;=总览!$H$13),总览!$I$13,IF(AND(总览!$F$13&lt;&gt;"",B19*100+VALUE(LEFT(C19,LEN(C19)-1))&gt;=总览!$F$13),总览!$G$13,IF(AND(总览!$D$13&lt;&gt;"",B19*100+VALUE(LEFT(C19,LEN(C19)-1))&gt;=总览!$D$13),总览!$E$13,总览!$B$13))))),0)))</f>
        <v/>
      </c>
      <c r="L19" s="31" t="inlineStr"/>
      <c r="M19" s="32">
        <f>IF(B19*100+VALUE(LEFT(C19,LEN(C19)-1))=总览!$B$18,总览!$B$23,0)</f>
        <v/>
      </c>
      <c r="N19" s="32">
        <f>IF(B19*100+VALUE(LEFT(C19,LEN(C19)-1))&gt;总览!$B$18,总览!$B$25,0)</f>
        <v/>
      </c>
      <c r="O19" s="32">
        <f>SUM(H19:J19)+K19+M19+N19</f>
        <v/>
      </c>
      <c r="P19" s="32">
        <f>G19-O19</f>
        <v/>
      </c>
      <c r="Q19" s="32">
        <f>Q18+P19</f>
        <v/>
      </c>
      <c r="R19" s="32">
        <f>IF(B19*100+VALUE(LEFT(C19,LEN(C19)-1))&lt;总览!$B$18,0,IF(B19*100+VALUE(LEFT(C19,LEN(C19)-1))=总览!$B$18,总览!$B$24,R18-(总览!$B$25-R18*总览!$B$22/12)))</f>
        <v/>
      </c>
    </row>
    <row r="20">
      <c r="A20" s="30" t="n">
        <v>19</v>
      </c>
      <c r="B20" s="30" t="n">
        <v>2027</v>
      </c>
      <c r="C20" s="30" t="inlineStr">
        <is>
          <t>8月</t>
        </is>
      </c>
      <c r="D20" s="11">
        <f>IF(AND(总览!$L$6&lt;&gt;"",B20*100+VALUE(LEFT(C20,LEN(C20)-1))&gt;=总览!$L$6),总览!$M$6,IF(AND(总览!$J$6&lt;&gt;"",B20*100+VALUE(LEFT(C20,LEN(C20)-1))&gt;=总览!$J$6),总览!$K$6,IF(AND(总览!$H$6&lt;&gt;"",B20*100+VALUE(LEFT(C20,LEN(C20)-1))&gt;=总览!$H$6),总览!$I$6,IF(AND(总览!$F$6&lt;&gt;"",B20*100+VALUE(LEFT(C20,LEN(C20)-1))&gt;=总览!$F$6),总览!$G$6,IF(AND(总览!$D$6&lt;&gt;"",B20*100+VALUE(LEFT(C20,LEN(C20)-1))&gt;=总览!$D$6),总览!$E$6,总览!$B$6)))))</f>
        <v/>
      </c>
      <c r="E20" s="11">
        <f>IF(C20="12月",IF(AND(总览!$L$7&lt;&gt;"",B20*100+VALUE(LEFT(C20,LEN(C20)-1))&gt;=总览!$L$7),总览!$M$7,IF(AND(总览!$J$7&lt;&gt;"",B20*100+VALUE(LEFT(C20,LEN(C20)-1))&gt;=总览!$J$7),总览!$K$7,IF(AND(总览!$H$7&lt;&gt;"",B20*100+VALUE(LEFT(C20,LEN(C20)-1))&gt;=总览!$H$7),总览!$I$7,IF(AND(总览!$F$7&lt;&gt;"",B20*100+VALUE(LEFT(C20,LEN(C20)-1))&gt;=总览!$F$7),总览!$G$7,IF(AND(总览!$D$7&lt;&gt;"",B20*100+VALUE(LEFT(C20,LEN(C20)-1))&gt;=总览!$D$7),总览!$E$7,总览!$B$7))))),0)</f>
        <v/>
      </c>
      <c r="F20" s="11">
        <f>ROUND(Q19*总览!$B$14/12,0)</f>
        <v/>
      </c>
      <c r="G20" s="11">
        <f>D20+E20+F20</f>
        <v/>
      </c>
      <c r="H20" s="11">
        <f>IF(OR(B20&gt;2027,AND(B20=2027,VALUE(LEFT(C20,LEN(C20)-1))&gt;=9)),IF(AND(总览!$L$10&lt;&gt;"",B20*100+VALUE(LEFT(C20,LEN(C20)-1))&gt;=总览!$L$10),总览!$M$10,IF(AND(总览!$J$10&lt;&gt;"",B20*100+VALUE(LEFT(C20,LEN(C20)-1))&gt;=总览!$J$10),总览!$K$10,IF(AND(总览!$H$10&lt;&gt;"",B20*100+VALUE(LEFT(C20,LEN(C20)-1))&gt;=总览!$H$10),总览!$I$10,IF(AND(总览!$F$10&lt;&gt;"",B20*100+VALUE(LEFT(C20,LEN(C20)-1))&gt;=总览!$F$10),总览!$G$10,IF(AND(总览!$D$10&lt;&gt;"",B20*100+VALUE(LEFT(C20,LEN(C20)-1))&gt;=总览!$D$10),总览!$E$10,总览!$B$10))))),IF(AND(总览!$L$9&lt;&gt;"",B20*100+VALUE(LEFT(C20,LEN(C20)-1))&gt;=总览!$L$9),总览!$M$9,IF(AND(总览!$J$9&lt;&gt;"",B20*100+VALUE(LEFT(C20,LEN(C20)-1))&gt;=总览!$J$9),总览!$K$9,IF(AND(总览!$H$9&lt;&gt;"",B20*100+VALUE(LEFT(C20,LEN(C20)-1))&gt;=总览!$H$9),总览!$I$9,IF(AND(总览!$F$9&lt;&gt;"",B20*100+VALUE(LEFT(C20,LEN(C20)-1))&gt;=总览!$F$9),总览!$G$9,IF(AND(总览!$D$9&lt;&gt;"",B20*100+VALUE(LEFT(C20,LEN(C20)-1))&gt;=总览!$D$9),总览!$E$9,总览!$B$9))))))</f>
        <v/>
      </c>
      <c r="I20" s="11">
        <f>IF(AND(总览!$L$11&lt;&gt;"",B20*100+VALUE(LEFT(C20,LEN(C20)-1))&gt;=总览!$L$11),总览!$M$11,IF(AND(总览!$J$11&lt;&gt;"",B20*100+VALUE(LEFT(C20,LEN(C20)-1))&gt;=总览!$J$11),总览!$K$11,IF(AND(总览!$H$11&lt;&gt;"",B20*100+VALUE(LEFT(C20,LEN(C20)-1))&gt;=总览!$H$11),总览!$I$11,IF(AND(总览!$F$11&lt;&gt;"",B20*100+VALUE(LEFT(C20,LEN(C20)-1))&gt;=总览!$F$11),总览!$G$11,IF(AND(总览!$D$11&lt;&gt;"",B20*100+VALUE(LEFT(C20,LEN(C20)-1))&gt;=总览!$D$11),总览!$E$11,总览!$B$11)))))</f>
        <v/>
      </c>
      <c r="J20" s="11">
        <f>IF(OR(B20&gt;2027,AND(B20=2027,VALUE(LEFT(C20,LEN(C20)-1))&gt;=9)),IF(AND(总览!$L$12&lt;&gt;"",B20*100+VALUE(LEFT(C20,LEN(C20)-1))&gt;=总览!$L$12),总览!$M$12,IF(AND(总览!$J$12&lt;&gt;"",B20*100+VALUE(LEFT(C20,LEN(C20)-1))&gt;=总览!$J$12),总览!$K$12,IF(AND(总览!$H$12&lt;&gt;"",B20*100+VALUE(LEFT(C20,LEN(C20)-1))&gt;=总览!$H$12),总览!$I$12,IF(AND(总览!$F$12&lt;&gt;"",B20*100+VALUE(LEFT(C20,LEN(C20)-1))&gt;=总览!$F$12),总览!$G$12,IF(AND(总览!$D$12&lt;&gt;"",B20*100+VALUE(LEFT(C20,LEN(C20)-1))&gt;=总览!$D$12),总览!$E$12,总览!$B$12))))),0)</f>
        <v/>
      </c>
      <c r="K20" s="11">
        <f>IF(AND(B20=2026,C20="5月"),120000,IF(AND(B20=2027,C20="9月"),30000,IF(C20="10月",IF(AND(总览!$L$13&lt;&gt;"",B20*100+VALUE(LEFT(C20,LEN(C20)-1))&gt;=总览!$L$13),总览!$M$13,IF(AND(总览!$J$13&lt;&gt;"",B20*100+VALUE(LEFT(C20,LEN(C20)-1))&gt;=总览!$J$13),总览!$K$13,IF(AND(总览!$H$13&lt;&gt;"",B20*100+VALUE(LEFT(C20,LEN(C20)-1))&gt;=总览!$H$13),总览!$I$13,IF(AND(总览!$F$13&lt;&gt;"",B20*100+VALUE(LEFT(C20,LEN(C20)-1))&gt;=总览!$F$13),总览!$G$13,IF(AND(总览!$D$13&lt;&gt;"",B20*100+VALUE(LEFT(C20,LEN(C20)-1))&gt;=总览!$D$13),总览!$E$13,总览!$B$13))))),0)))</f>
        <v/>
      </c>
      <c r="L20" s="30" t="inlineStr"/>
      <c r="M20" s="11">
        <f>IF(B20*100+VALUE(LEFT(C20,LEN(C20)-1))=总览!$B$18,总览!$B$23,0)</f>
        <v/>
      </c>
      <c r="N20" s="11">
        <f>IF(B20*100+VALUE(LEFT(C20,LEN(C20)-1))&gt;总览!$B$18,总览!$B$25,0)</f>
        <v/>
      </c>
      <c r="O20" s="11">
        <f>SUM(H20:J20)+K20+M20+N20</f>
        <v/>
      </c>
      <c r="P20" s="11">
        <f>G20-O20</f>
        <v/>
      </c>
      <c r="Q20" s="11">
        <f>Q19+P20</f>
        <v/>
      </c>
      <c r="R20" s="11">
        <f>IF(B20*100+VALUE(LEFT(C20,LEN(C20)-1))&lt;总览!$B$18,0,IF(B20*100+VALUE(LEFT(C20,LEN(C20)-1))=总览!$B$18,总览!$B$24,R19-(总览!$B$25-R19*总览!$B$22/12)))</f>
        <v/>
      </c>
    </row>
    <row r="21">
      <c r="A21" s="33" t="n">
        <v>20</v>
      </c>
      <c r="B21" s="33" t="n">
        <v>2027</v>
      </c>
      <c r="C21" s="33" t="inlineStr">
        <is>
          <t>9月</t>
        </is>
      </c>
      <c r="D21" s="34">
        <f>IF(AND(总览!$L$6&lt;&gt;"",B21*100+VALUE(LEFT(C21,LEN(C21)-1))&gt;=总览!$L$6),总览!$M$6,IF(AND(总览!$J$6&lt;&gt;"",B21*100+VALUE(LEFT(C21,LEN(C21)-1))&gt;=总览!$J$6),总览!$K$6,IF(AND(总览!$H$6&lt;&gt;"",B21*100+VALUE(LEFT(C21,LEN(C21)-1))&gt;=总览!$H$6),总览!$I$6,IF(AND(总览!$F$6&lt;&gt;"",B21*100+VALUE(LEFT(C21,LEN(C21)-1))&gt;=总览!$F$6),总览!$G$6,IF(AND(总览!$D$6&lt;&gt;"",B21*100+VALUE(LEFT(C21,LEN(C21)-1))&gt;=总览!$D$6),总览!$E$6,总览!$B$6)))))</f>
        <v/>
      </c>
      <c r="E21" s="34">
        <f>IF(C21="12月",IF(AND(总览!$L$7&lt;&gt;"",B21*100+VALUE(LEFT(C21,LEN(C21)-1))&gt;=总览!$L$7),总览!$M$7,IF(AND(总览!$J$7&lt;&gt;"",B21*100+VALUE(LEFT(C21,LEN(C21)-1))&gt;=总览!$J$7),总览!$K$7,IF(AND(总览!$H$7&lt;&gt;"",B21*100+VALUE(LEFT(C21,LEN(C21)-1))&gt;=总览!$H$7),总览!$I$7,IF(AND(总览!$F$7&lt;&gt;"",B21*100+VALUE(LEFT(C21,LEN(C21)-1))&gt;=总览!$F$7),总览!$G$7,IF(AND(总览!$D$7&lt;&gt;"",B21*100+VALUE(LEFT(C21,LEN(C21)-1))&gt;=总览!$D$7),总览!$E$7,总览!$B$7))))),0)</f>
        <v/>
      </c>
      <c r="F21" s="34">
        <f>ROUND(Q20*总览!$B$14/12,0)</f>
        <v/>
      </c>
      <c r="G21" s="34">
        <f>D21+E21+F21</f>
        <v/>
      </c>
      <c r="H21" s="34">
        <f>IF(OR(B21&gt;2027,AND(B21=2027,VALUE(LEFT(C21,LEN(C21)-1))&gt;=9)),IF(AND(总览!$L$10&lt;&gt;"",B21*100+VALUE(LEFT(C21,LEN(C21)-1))&gt;=总览!$L$10),总览!$M$10,IF(AND(总览!$J$10&lt;&gt;"",B21*100+VALUE(LEFT(C21,LEN(C21)-1))&gt;=总览!$J$10),总览!$K$10,IF(AND(总览!$H$10&lt;&gt;"",B21*100+VALUE(LEFT(C21,LEN(C21)-1))&gt;=总览!$H$10),总览!$I$10,IF(AND(总览!$F$10&lt;&gt;"",B21*100+VALUE(LEFT(C21,LEN(C21)-1))&gt;=总览!$F$10),总览!$G$10,IF(AND(总览!$D$10&lt;&gt;"",B21*100+VALUE(LEFT(C21,LEN(C21)-1))&gt;=总览!$D$10),总览!$E$10,总览!$B$10))))),IF(AND(总览!$L$9&lt;&gt;"",B21*100+VALUE(LEFT(C21,LEN(C21)-1))&gt;=总览!$L$9),总览!$M$9,IF(AND(总览!$J$9&lt;&gt;"",B21*100+VALUE(LEFT(C21,LEN(C21)-1))&gt;=总览!$J$9),总览!$K$9,IF(AND(总览!$H$9&lt;&gt;"",B21*100+VALUE(LEFT(C21,LEN(C21)-1))&gt;=总览!$H$9),总览!$I$9,IF(AND(总览!$F$9&lt;&gt;"",B21*100+VALUE(LEFT(C21,LEN(C21)-1))&gt;=总览!$F$9),总览!$G$9,IF(AND(总览!$D$9&lt;&gt;"",B21*100+VALUE(LEFT(C21,LEN(C21)-1))&gt;=总览!$D$9),总览!$E$9,总览!$B$9))))))</f>
        <v/>
      </c>
      <c r="I21" s="34">
        <f>IF(AND(总览!$L$11&lt;&gt;"",B21*100+VALUE(LEFT(C21,LEN(C21)-1))&gt;=总览!$L$11),总览!$M$11,IF(AND(总览!$J$11&lt;&gt;"",B21*100+VALUE(LEFT(C21,LEN(C21)-1))&gt;=总览!$J$11),总览!$K$11,IF(AND(总览!$H$11&lt;&gt;"",B21*100+VALUE(LEFT(C21,LEN(C21)-1))&gt;=总览!$H$11),总览!$I$11,IF(AND(总览!$F$11&lt;&gt;"",B21*100+VALUE(LEFT(C21,LEN(C21)-1))&gt;=总览!$F$11),总览!$G$11,IF(AND(总览!$D$11&lt;&gt;"",B21*100+VALUE(LEFT(C21,LEN(C21)-1))&gt;=总览!$D$11),总览!$E$11,总览!$B$11)))))</f>
        <v/>
      </c>
      <c r="J21" s="34">
        <f>IF(OR(B21&gt;2027,AND(B21=2027,VALUE(LEFT(C21,LEN(C21)-1))&gt;=9)),IF(AND(总览!$L$12&lt;&gt;"",B21*100+VALUE(LEFT(C21,LEN(C21)-1))&gt;=总览!$L$12),总览!$M$12,IF(AND(总览!$J$12&lt;&gt;"",B21*100+VALUE(LEFT(C21,LEN(C21)-1))&gt;=总览!$J$12),总览!$K$12,IF(AND(总览!$H$12&lt;&gt;"",B21*100+VALUE(LEFT(C21,LEN(C21)-1))&gt;=总览!$H$12),总览!$I$12,IF(AND(总览!$F$12&lt;&gt;"",B21*100+VALUE(LEFT(C21,LEN(C21)-1))&gt;=总览!$F$12),总览!$G$12,IF(AND(总览!$D$12&lt;&gt;"",B21*100+VALUE(LEFT(C21,LEN(C21)-1))&gt;=总览!$D$12),总览!$E$12,总览!$B$12))))),0)</f>
        <v/>
      </c>
      <c r="K21" s="34">
        <f>IF(AND(B21=2026,C21="5月"),120000,IF(AND(B21=2027,C21="9月"),30000,IF(C21="10月",IF(AND(总览!$L$13&lt;&gt;"",B21*100+VALUE(LEFT(C21,LEN(C21)-1))&gt;=总览!$L$13),总览!$M$13,IF(AND(总览!$J$13&lt;&gt;"",B21*100+VALUE(LEFT(C21,LEN(C21)-1))&gt;=总览!$J$13),总览!$K$13,IF(AND(总览!$H$13&lt;&gt;"",B21*100+VALUE(LEFT(C21,LEN(C21)-1))&gt;=总览!$H$13),总览!$I$13,IF(AND(总览!$F$13&lt;&gt;"",B21*100+VALUE(LEFT(C21,LEN(C21)-1))&gt;=总览!$F$13),总览!$G$13,IF(AND(总览!$D$13&lt;&gt;"",B21*100+VALUE(LEFT(C21,LEN(C21)-1))&gt;=总览!$D$13),总览!$E$13,总览!$B$13))))),0)))</f>
        <v/>
      </c>
      <c r="L21" s="33" t="inlineStr">
        <is>
          <t>孕产费用</t>
        </is>
      </c>
      <c r="M21" s="34">
        <f>IF(B21*100+VALUE(LEFT(C21,LEN(C21)-1))=总览!$B$18,总览!$B$23,0)</f>
        <v/>
      </c>
      <c r="N21" s="34">
        <f>IF(B21*100+VALUE(LEFT(C21,LEN(C21)-1))&gt;总览!$B$18,总览!$B$25,0)</f>
        <v/>
      </c>
      <c r="O21" s="34">
        <f>SUM(H21:J21)+K21+M21+N21</f>
        <v/>
      </c>
      <c r="P21" s="34">
        <f>G21-O21</f>
        <v/>
      </c>
      <c r="Q21" s="34">
        <f>Q20+P21</f>
        <v/>
      </c>
      <c r="R21" s="34">
        <f>IF(B21*100+VALUE(LEFT(C21,LEN(C21)-1))&lt;总览!$B$18,0,IF(B21*100+VALUE(LEFT(C21,LEN(C21)-1))=总览!$B$18,总览!$B$24,R20-(总览!$B$25-R20*总览!$B$22/12)))</f>
        <v/>
      </c>
    </row>
    <row r="22">
      <c r="A22" s="33" t="n">
        <v>21</v>
      </c>
      <c r="B22" s="33" t="n">
        <v>2027</v>
      </c>
      <c r="C22" s="33" t="inlineStr">
        <is>
          <t>10月</t>
        </is>
      </c>
      <c r="D22" s="34">
        <f>IF(AND(总览!$L$6&lt;&gt;"",B22*100+VALUE(LEFT(C22,LEN(C22)-1))&gt;=总览!$L$6),总览!$M$6,IF(AND(总览!$J$6&lt;&gt;"",B22*100+VALUE(LEFT(C22,LEN(C22)-1))&gt;=总览!$J$6),总览!$K$6,IF(AND(总览!$H$6&lt;&gt;"",B22*100+VALUE(LEFT(C22,LEN(C22)-1))&gt;=总览!$H$6),总览!$I$6,IF(AND(总览!$F$6&lt;&gt;"",B22*100+VALUE(LEFT(C22,LEN(C22)-1))&gt;=总览!$F$6),总览!$G$6,IF(AND(总览!$D$6&lt;&gt;"",B22*100+VALUE(LEFT(C22,LEN(C22)-1))&gt;=总览!$D$6),总览!$E$6,总览!$B$6)))))</f>
        <v/>
      </c>
      <c r="E22" s="34">
        <f>IF(C22="12月",IF(AND(总览!$L$7&lt;&gt;"",B22*100+VALUE(LEFT(C22,LEN(C22)-1))&gt;=总览!$L$7),总览!$M$7,IF(AND(总览!$J$7&lt;&gt;"",B22*100+VALUE(LEFT(C22,LEN(C22)-1))&gt;=总览!$J$7),总览!$K$7,IF(AND(总览!$H$7&lt;&gt;"",B22*100+VALUE(LEFT(C22,LEN(C22)-1))&gt;=总览!$H$7),总览!$I$7,IF(AND(总览!$F$7&lt;&gt;"",B22*100+VALUE(LEFT(C22,LEN(C22)-1))&gt;=总览!$F$7),总览!$G$7,IF(AND(总览!$D$7&lt;&gt;"",B22*100+VALUE(LEFT(C22,LEN(C22)-1))&gt;=总览!$D$7),总览!$E$7,总览!$B$7))))),0)</f>
        <v/>
      </c>
      <c r="F22" s="34">
        <f>ROUND(Q21*总览!$B$14/12,0)</f>
        <v/>
      </c>
      <c r="G22" s="34">
        <f>D22+E22+F22</f>
        <v/>
      </c>
      <c r="H22" s="34">
        <f>IF(OR(B22&gt;2027,AND(B22=2027,VALUE(LEFT(C22,LEN(C22)-1))&gt;=9)),IF(AND(总览!$L$10&lt;&gt;"",B22*100+VALUE(LEFT(C22,LEN(C22)-1))&gt;=总览!$L$10),总览!$M$10,IF(AND(总览!$J$10&lt;&gt;"",B22*100+VALUE(LEFT(C22,LEN(C22)-1))&gt;=总览!$J$10),总览!$K$10,IF(AND(总览!$H$10&lt;&gt;"",B22*100+VALUE(LEFT(C22,LEN(C22)-1))&gt;=总览!$H$10),总览!$I$10,IF(AND(总览!$F$10&lt;&gt;"",B22*100+VALUE(LEFT(C22,LEN(C22)-1))&gt;=总览!$F$10),总览!$G$10,IF(AND(总览!$D$10&lt;&gt;"",B22*100+VALUE(LEFT(C22,LEN(C22)-1))&gt;=总览!$D$10),总览!$E$10,总览!$B$10))))),IF(AND(总览!$L$9&lt;&gt;"",B22*100+VALUE(LEFT(C22,LEN(C22)-1))&gt;=总览!$L$9),总览!$M$9,IF(AND(总览!$J$9&lt;&gt;"",B22*100+VALUE(LEFT(C22,LEN(C22)-1))&gt;=总览!$J$9),总览!$K$9,IF(AND(总览!$H$9&lt;&gt;"",B22*100+VALUE(LEFT(C22,LEN(C22)-1))&gt;=总览!$H$9),总览!$I$9,IF(AND(总览!$F$9&lt;&gt;"",B22*100+VALUE(LEFT(C22,LEN(C22)-1))&gt;=总览!$F$9),总览!$G$9,IF(AND(总览!$D$9&lt;&gt;"",B22*100+VALUE(LEFT(C22,LEN(C22)-1))&gt;=总览!$D$9),总览!$E$9,总览!$B$9))))))</f>
        <v/>
      </c>
      <c r="I22" s="34">
        <f>IF(AND(总览!$L$11&lt;&gt;"",B22*100+VALUE(LEFT(C22,LEN(C22)-1))&gt;=总览!$L$11),总览!$M$11,IF(AND(总览!$J$11&lt;&gt;"",B22*100+VALUE(LEFT(C22,LEN(C22)-1))&gt;=总览!$J$11),总览!$K$11,IF(AND(总览!$H$11&lt;&gt;"",B22*100+VALUE(LEFT(C22,LEN(C22)-1))&gt;=总览!$H$11),总览!$I$11,IF(AND(总览!$F$11&lt;&gt;"",B22*100+VALUE(LEFT(C22,LEN(C22)-1))&gt;=总览!$F$11),总览!$G$11,IF(AND(总览!$D$11&lt;&gt;"",B22*100+VALUE(LEFT(C22,LEN(C22)-1))&gt;=总览!$D$11),总览!$E$11,总览!$B$11)))))</f>
        <v/>
      </c>
      <c r="J22" s="34">
        <f>IF(OR(B22&gt;2027,AND(B22=2027,VALUE(LEFT(C22,LEN(C22)-1))&gt;=9)),IF(AND(总览!$L$12&lt;&gt;"",B22*100+VALUE(LEFT(C22,LEN(C22)-1))&gt;=总览!$L$12),总览!$M$12,IF(AND(总览!$J$12&lt;&gt;"",B22*100+VALUE(LEFT(C22,LEN(C22)-1))&gt;=总览!$J$12),总览!$K$12,IF(AND(总览!$H$12&lt;&gt;"",B22*100+VALUE(LEFT(C22,LEN(C22)-1))&gt;=总览!$H$12),总览!$I$12,IF(AND(总览!$F$12&lt;&gt;"",B22*100+VALUE(LEFT(C22,LEN(C22)-1))&gt;=总览!$F$12),总览!$G$12,IF(AND(总览!$D$12&lt;&gt;"",B22*100+VALUE(LEFT(C22,LEN(C22)-1))&gt;=总览!$D$12),总览!$E$12,总览!$B$12))))),0)</f>
        <v/>
      </c>
      <c r="K22" s="34">
        <f>IF(AND(B22=2026,C22="5月"),120000,IF(AND(B22=2027,C22="9月"),30000,IF(C22="10月",IF(AND(总览!$L$13&lt;&gt;"",B22*100+VALUE(LEFT(C22,LEN(C22)-1))&gt;=总览!$L$13),总览!$M$13,IF(AND(总览!$J$13&lt;&gt;"",B22*100+VALUE(LEFT(C22,LEN(C22)-1))&gt;=总览!$J$13),总览!$K$13,IF(AND(总览!$H$13&lt;&gt;"",B22*100+VALUE(LEFT(C22,LEN(C22)-1))&gt;=总览!$H$13),总览!$I$13,IF(AND(总览!$F$13&lt;&gt;"",B22*100+VALUE(LEFT(C22,LEN(C22)-1))&gt;=总览!$F$13),总览!$G$13,IF(AND(总览!$D$13&lt;&gt;"",B22*100+VALUE(LEFT(C22,LEN(C22)-1))&gt;=总览!$D$13),总览!$E$13,总览!$B$13))))),0)))</f>
        <v/>
      </c>
      <c r="L22" s="33" t="inlineStr">
        <is>
          <t>年度旅游</t>
        </is>
      </c>
      <c r="M22" s="34">
        <f>IF(B22*100+VALUE(LEFT(C22,LEN(C22)-1))=总览!$B$18,总览!$B$23,0)</f>
        <v/>
      </c>
      <c r="N22" s="34">
        <f>IF(B22*100+VALUE(LEFT(C22,LEN(C22)-1))&gt;总览!$B$18,总览!$B$25,0)</f>
        <v/>
      </c>
      <c r="O22" s="34">
        <f>SUM(H22:J22)+K22+M22+N22</f>
        <v/>
      </c>
      <c r="P22" s="34">
        <f>G22-O22</f>
        <v/>
      </c>
      <c r="Q22" s="34">
        <f>Q21+P22</f>
        <v/>
      </c>
      <c r="R22" s="34">
        <f>IF(B22*100+VALUE(LEFT(C22,LEN(C22)-1))&lt;总览!$B$18,0,IF(B22*100+VALUE(LEFT(C22,LEN(C22)-1))=总览!$B$18,总览!$B$24,R21-(总览!$B$25-R21*总览!$B$22/12)))</f>
        <v/>
      </c>
    </row>
    <row r="23">
      <c r="A23" s="31" t="n">
        <v>22</v>
      </c>
      <c r="B23" s="31" t="n">
        <v>2027</v>
      </c>
      <c r="C23" s="31" t="inlineStr">
        <is>
          <t>11月</t>
        </is>
      </c>
      <c r="D23" s="32">
        <f>IF(AND(总览!$L$6&lt;&gt;"",B23*100+VALUE(LEFT(C23,LEN(C23)-1))&gt;=总览!$L$6),总览!$M$6,IF(AND(总览!$J$6&lt;&gt;"",B23*100+VALUE(LEFT(C23,LEN(C23)-1))&gt;=总览!$J$6),总览!$K$6,IF(AND(总览!$H$6&lt;&gt;"",B23*100+VALUE(LEFT(C23,LEN(C23)-1))&gt;=总览!$H$6),总览!$I$6,IF(AND(总览!$F$6&lt;&gt;"",B23*100+VALUE(LEFT(C23,LEN(C23)-1))&gt;=总览!$F$6),总览!$G$6,IF(AND(总览!$D$6&lt;&gt;"",B23*100+VALUE(LEFT(C23,LEN(C23)-1))&gt;=总览!$D$6),总览!$E$6,总览!$B$6)))))</f>
        <v/>
      </c>
      <c r="E23" s="32">
        <f>IF(C23="12月",IF(AND(总览!$L$7&lt;&gt;"",B23*100+VALUE(LEFT(C23,LEN(C23)-1))&gt;=总览!$L$7),总览!$M$7,IF(AND(总览!$J$7&lt;&gt;"",B23*100+VALUE(LEFT(C23,LEN(C23)-1))&gt;=总览!$J$7),总览!$K$7,IF(AND(总览!$H$7&lt;&gt;"",B23*100+VALUE(LEFT(C23,LEN(C23)-1))&gt;=总览!$H$7),总览!$I$7,IF(AND(总览!$F$7&lt;&gt;"",B23*100+VALUE(LEFT(C23,LEN(C23)-1))&gt;=总览!$F$7),总览!$G$7,IF(AND(总览!$D$7&lt;&gt;"",B23*100+VALUE(LEFT(C23,LEN(C23)-1))&gt;=总览!$D$7),总览!$E$7,总览!$B$7))))),0)</f>
        <v/>
      </c>
      <c r="F23" s="32">
        <f>ROUND(Q22*总览!$B$14/12,0)</f>
        <v/>
      </c>
      <c r="G23" s="32">
        <f>D23+E23+F23</f>
        <v/>
      </c>
      <c r="H23" s="32">
        <f>IF(OR(B23&gt;2027,AND(B23=2027,VALUE(LEFT(C23,LEN(C23)-1))&gt;=9)),IF(AND(总览!$L$10&lt;&gt;"",B23*100+VALUE(LEFT(C23,LEN(C23)-1))&gt;=总览!$L$10),总览!$M$10,IF(AND(总览!$J$10&lt;&gt;"",B23*100+VALUE(LEFT(C23,LEN(C23)-1))&gt;=总览!$J$10),总览!$K$10,IF(AND(总览!$H$10&lt;&gt;"",B23*100+VALUE(LEFT(C23,LEN(C23)-1))&gt;=总览!$H$10),总览!$I$10,IF(AND(总览!$F$10&lt;&gt;"",B23*100+VALUE(LEFT(C23,LEN(C23)-1))&gt;=总览!$F$10),总览!$G$10,IF(AND(总览!$D$10&lt;&gt;"",B23*100+VALUE(LEFT(C23,LEN(C23)-1))&gt;=总览!$D$10),总览!$E$10,总览!$B$10))))),IF(AND(总览!$L$9&lt;&gt;"",B23*100+VALUE(LEFT(C23,LEN(C23)-1))&gt;=总览!$L$9),总览!$M$9,IF(AND(总览!$J$9&lt;&gt;"",B23*100+VALUE(LEFT(C23,LEN(C23)-1))&gt;=总览!$J$9),总览!$K$9,IF(AND(总览!$H$9&lt;&gt;"",B23*100+VALUE(LEFT(C23,LEN(C23)-1))&gt;=总览!$H$9),总览!$I$9,IF(AND(总览!$F$9&lt;&gt;"",B23*100+VALUE(LEFT(C23,LEN(C23)-1))&gt;=总览!$F$9),总览!$G$9,IF(AND(总览!$D$9&lt;&gt;"",B23*100+VALUE(LEFT(C23,LEN(C23)-1))&gt;=总览!$D$9),总览!$E$9,总览!$B$9))))))</f>
        <v/>
      </c>
      <c r="I23" s="32">
        <f>IF(AND(总览!$L$11&lt;&gt;"",B23*100+VALUE(LEFT(C23,LEN(C23)-1))&gt;=总览!$L$11),总览!$M$11,IF(AND(总览!$J$11&lt;&gt;"",B23*100+VALUE(LEFT(C23,LEN(C23)-1))&gt;=总览!$J$11),总览!$K$11,IF(AND(总览!$H$11&lt;&gt;"",B23*100+VALUE(LEFT(C23,LEN(C23)-1))&gt;=总览!$H$11),总览!$I$11,IF(AND(总览!$F$11&lt;&gt;"",B23*100+VALUE(LEFT(C23,LEN(C23)-1))&gt;=总览!$F$11),总览!$G$11,IF(AND(总览!$D$11&lt;&gt;"",B23*100+VALUE(LEFT(C23,LEN(C23)-1))&gt;=总览!$D$11),总览!$E$11,总览!$B$11)))))</f>
        <v/>
      </c>
      <c r="J23" s="32">
        <f>IF(OR(B23&gt;2027,AND(B23=2027,VALUE(LEFT(C23,LEN(C23)-1))&gt;=9)),IF(AND(总览!$L$12&lt;&gt;"",B23*100+VALUE(LEFT(C23,LEN(C23)-1))&gt;=总览!$L$12),总览!$M$12,IF(AND(总览!$J$12&lt;&gt;"",B23*100+VALUE(LEFT(C23,LEN(C23)-1))&gt;=总览!$J$12),总览!$K$12,IF(AND(总览!$H$12&lt;&gt;"",B23*100+VALUE(LEFT(C23,LEN(C23)-1))&gt;=总览!$H$12),总览!$I$12,IF(AND(总览!$F$12&lt;&gt;"",B23*100+VALUE(LEFT(C23,LEN(C23)-1))&gt;=总览!$F$12),总览!$G$12,IF(AND(总览!$D$12&lt;&gt;"",B23*100+VALUE(LEFT(C23,LEN(C23)-1))&gt;=总览!$D$12),总览!$E$12,总览!$B$12))))),0)</f>
        <v/>
      </c>
      <c r="K23" s="32">
        <f>IF(AND(B23=2026,C23="5月"),120000,IF(AND(B23=2027,C23="9月"),30000,IF(C23="10月",IF(AND(总览!$L$13&lt;&gt;"",B23*100+VALUE(LEFT(C23,LEN(C23)-1))&gt;=总览!$L$13),总览!$M$13,IF(AND(总览!$J$13&lt;&gt;"",B23*100+VALUE(LEFT(C23,LEN(C23)-1))&gt;=总览!$J$13),总览!$K$13,IF(AND(总览!$H$13&lt;&gt;"",B23*100+VALUE(LEFT(C23,LEN(C23)-1))&gt;=总览!$H$13),总览!$I$13,IF(AND(总览!$F$13&lt;&gt;"",B23*100+VALUE(LEFT(C23,LEN(C23)-1))&gt;=总览!$F$13),总览!$G$13,IF(AND(总览!$D$13&lt;&gt;"",B23*100+VALUE(LEFT(C23,LEN(C23)-1))&gt;=总览!$D$13),总览!$E$13,总览!$B$13))))),0)))</f>
        <v/>
      </c>
      <c r="L23" s="31" t="inlineStr"/>
      <c r="M23" s="32">
        <f>IF(B23*100+VALUE(LEFT(C23,LEN(C23)-1))=总览!$B$18,总览!$B$23,0)</f>
        <v/>
      </c>
      <c r="N23" s="32">
        <f>IF(B23*100+VALUE(LEFT(C23,LEN(C23)-1))&gt;总览!$B$18,总览!$B$25,0)</f>
        <v/>
      </c>
      <c r="O23" s="32">
        <f>SUM(H23:J23)+K23+M23+N23</f>
        <v/>
      </c>
      <c r="P23" s="32">
        <f>G23-O23</f>
        <v/>
      </c>
      <c r="Q23" s="32">
        <f>Q22+P23</f>
        <v/>
      </c>
      <c r="R23" s="32">
        <f>IF(B23*100+VALUE(LEFT(C23,LEN(C23)-1))&lt;总览!$B$18,0,IF(B23*100+VALUE(LEFT(C23,LEN(C23)-1))=总览!$B$18,总览!$B$24,R22-(总览!$B$25-R22*总览!$B$22/12)))</f>
        <v/>
      </c>
    </row>
    <row r="24">
      <c r="A24" s="35" t="n">
        <v>23</v>
      </c>
      <c r="B24" s="35" t="n">
        <v>2027</v>
      </c>
      <c r="C24" s="35" t="inlineStr">
        <is>
          <t>12月</t>
        </is>
      </c>
      <c r="D24" s="36">
        <f>IF(AND(总览!$L$6&lt;&gt;"",B24*100+VALUE(LEFT(C24,LEN(C24)-1))&gt;=总览!$L$6),总览!$M$6,IF(AND(总览!$J$6&lt;&gt;"",B24*100+VALUE(LEFT(C24,LEN(C24)-1))&gt;=总览!$J$6),总览!$K$6,IF(AND(总览!$H$6&lt;&gt;"",B24*100+VALUE(LEFT(C24,LEN(C24)-1))&gt;=总览!$H$6),总览!$I$6,IF(AND(总览!$F$6&lt;&gt;"",B24*100+VALUE(LEFT(C24,LEN(C24)-1))&gt;=总览!$F$6),总览!$G$6,IF(AND(总览!$D$6&lt;&gt;"",B24*100+VALUE(LEFT(C24,LEN(C24)-1))&gt;=总览!$D$6),总览!$E$6,总览!$B$6)))))</f>
        <v/>
      </c>
      <c r="E24" s="36">
        <f>IF(C24="12月",IF(AND(总览!$L$7&lt;&gt;"",B24*100+VALUE(LEFT(C24,LEN(C24)-1))&gt;=总览!$L$7),总览!$M$7,IF(AND(总览!$J$7&lt;&gt;"",B24*100+VALUE(LEFT(C24,LEN(C24)-1))&gt;=总览!$J$7),总览!$K$7,IF(AND(总览!$H$7&lt;&gt;"",B24*100+VALUE(LEFT(C24,LEN(C24)-1))&gt;=总览!$H$7),总览!$I$7,IF(AND(总览!$F$7&lt;&gt;"",B24*100+VALUE(LEFT(C24,LEN(C24)-1))&gt;=总览!$F$7),总览!$G$7,IF(AND(总览!$D$7&lt;&gt;"",B24*100+VALUE(LEFT(C24,LEN(C24)-1))&gt;=总览!$D$7),总览!$E$7,总览!$B$7))))),0)</f>
        <v/>
      </c>
      <c r="F24" s="36">
        <f>ROUND(Q23*总览!$B$14/12,0)</f>
        <v/>
      </c>
      <c r="G24" s="36">
        <f>D24+E24+F24</f>
        <v/>
      </c>
      <c r="H24" s="36">
        <f>IF(OR(B24&gt;2027,AND(B24=2027,VALUE(LEFT(C24,LEN(C24)-1))&gt;=9)),IF(AND(总览!$L$10&lt;&gt;"",B24*100+VALUE(LEFT(C24,LEN(C24)-1))&gt;=总览!$L$10),总览!$M$10,IF(AND(总览!$J$10&lt;&gt;"",B24*100+VALUE(LEFT(C24,LEN(C24)-1))&gt;=总览!$J$10),总览!$K$10,IF(AND(总览!$H$10&lt;&gt;"",B24*100+VALUE(LEFT(C24,LEN(C24)-1))&gt;=总览!$H$10),总览!$I$10,IF(AND(总览!$F$10&lt;&gt;"",B24*100+VALUE(LEFT(C24,LEN(C24)-1))&gt;=总览!$F$10),总览!$G$10,IF(AND(总览!$D$10&lt;&gt;"",B24*100+VALUE(LEFT(C24,LEN(C24)-1))&gt;=总览!$D$10),总览!$E$10,总览!$B$10))))),IF(AND(总览!$L$9&lt;&gt;"",B24*100+VALUE(LEFT(C24,LEN(C24)-1))&gt;=总览!$L$9),总览!$M$9,IF(AND(总览!$J$9&lt;&gt;"",B24*100+VALUE(LEFT(C24,LEN(C24)-1))&gt;=总览!$J$9),总览!$K$9,IF(AND(总览!$H$9&lt;&gt;"",B24*100+VALUE(LEFT(C24,LEN(C24)-1))&gt;=总览!$H$9),总览!$I$9,IF(AND(总览!$F$9&lt;&gt;"",B24*100+VALUE(LEFT(C24,LEN(C24)-1))&gt;=总览!$F$9),总览!$G$9,IF(AND(总览!$D$9&lt;&gt;"",B24*100+VALUE(LEFT(C24,LEN(C24)-1))&gt;=总览!$D$9),总览!$E$9,总览!$B$9))))))</f>
        <v/>
      </c>
      <c r="I24" s="36">
        <f>IF(AND(总览!$L$11&lt;&gt;"",B24*100+VALUE(LEFT(C24,LEN(C24)-1))&gt;=总览!$L$11),总览!$M$11,IF(AND(总览!$J$11&lt;&gt;"",B24*100+VALUE(LEFT(C24,LEN(C24)-1))&gt;=总览!$J$11),总览!$K$11,IF(AND(总览!$H$11&lt;&gt;"",B24*100+VALUE(LEFT(C24,LEN(C24)-1))&gt;=总览!$H$11),总览!$I$11,IF(AND(总览!$F$11&lt;&gt;"",B24*100+VALUE(LEFT(C24,LEN(C24)-1))&gt;=总览!$F$11),总览!$G$11,IF(AND(总览!$D$11&lt;&gt;"",B24*100+VALUE(LEFT(C24,LEN(C24)-1))&gt;=总览!$D$11),总览!$E$11,总览!$B$11)))))</f>
        <v/>
      </c>
      <c r="J24" s="36">
        <f>IF(OR(B24&gt;2027,AND(B24=2027,VALUE(LEFT(C24,LEN(C24)-1))&gt;=9)),IF(AND(总览!$L$12&lt;&gt;"",B24*100+VALUE(LEFT(C24,LEN(C24)-1))&gt;=总览!$L$12),总览!$M$12,IF(AND(总览!$J$12&lt;&gt;"",B24*100+VALUE(LEFT(C24,LEN(C24)-1))&gt;=总览!$J$12),总览!$K$12,IF(AND(总览!$H$12&lt;&gt;"",B24*100+VALUE(LEFT(C24,LEN(C24)-1))&gt;=总览!$H$12),总览!$I$12,IF(AND(总览!$F$12&lt;&gt;"",B24*100+VALUE(LEFT(C24,LEN(C24)-1))&gt;=总览!$F$12),总览!$G$12,IF(AND(总览!$D$12&lt;&gt;"",B24*100+VALUE(LEFT(C24,LEN(C24)-1))&gt;=总览!$D$12),总览!$E$12,总览!$B$12))))),0)</f>
        <v/>
      </c>
      <c r="K24" s="36">
        <f>IF(AND(B24=2026,C24="5月"),120000,IF(AND(B24=2027,C24="9月"),30000,IF(C24="10月",IF(AND(总览!$L$13&lt;&gt;"",B24*100+VALUE(LEFT(C24,LEN(C24)-1))&gt;=总览!$L$13),总览!$M$13,IF(AND(总览!$J$13&lt;&gt;"",B24*100+VALUE(LEFT(C24,LEN(C24)-1))&gt;=总览!$J$13),总览!$K$13,IF(AND(总览!$H$13&lt;&gt;"",B24*100+VALUE(LEFT(C24,LEN(C24)-1))&gt;=总览!$H$13),总览!$I$13,IF(AND(总览!$F$13&lt;&gt;"",B24*100+VALUE(LEFT(C24,LEN(C24)-1))&gt;=总览!$F$13),总览!$G$13,IF(AND(总览!$D$13&lt;&gt;"",B24*100+VALUE(LEFT(C24,LEN(C24)-1))&gt;=总览!$D$13),总览!$E$13,总览!$B$13))))),0)))</f>
        <v/>
      </c>
      <c r="L24" s="35" t="inlineStr"/>
      <c r="M24" s="36">
        <f>IF(B24*100+VALUE(LEFT(C24,LEN(C24)-1))=总览!$B$18,总览!$B$23,0)</f>
        <v/>
      </c>
      <c r="N24" s="36">
        <f>IF(B24*100+VALUE(LEFT(C24,LEN(C24)-1))&gt;总览!$B$18,总览!$B$25,0)</f>
        <v/>
      </c>
      <c r="O24" s="36">
        <f>SUM(H24:J24)+K24+M24+N24</f>
        <v/>
      </c>
      <c r="P24" s="36">
        <f>G24-O24</f>
        <v/>
      </c>
      <c r="Q24" s="36">
        <f>Q23+P24</f>
        <v/>
      </c>
      <c r="R24" s="36">
        <f>IF(B24*100+VALUE(LEFT(C24,LEN(C24)-1))&lt;总览!$B$18,0,IF(B24*100+VALUE(LEFT(C24,LEN(C24)-1))=总览!$B$18,总览!$B$24,R23-(总览!$B$25-R23*总览!$B$22/12)))</f>
        <v/>
      </c>
    </row>
    <row r="25">
      <c r="A25" s="31" t="n">
        <v>24</v>
      </c>
      <c r="B25" s="31" t="n">
        <v>2028</v>
      </c>
      <c r="C25" s="31" t="inlineStr">
        <is>
          <t>1月</t>
        </is>
      </c>
      <c r="D25" s="32">
        <f>IF(AND(总览!$L$6&lt;&gt;"",B25*100+VALUE(LEFT(C25,LEN(C25)-1))&gt;=总览!$L$6),总览!$M$6,IF(AND(总览!$J$6&lt;&gt;"",B25*100+VALUE(LEFT(C25,LEN(C25)-1))&gt;=总览!$J$6),总览!$K$6,IF(AND(总览!$H$6&lt;&gt;"",B25*100+VALUE(LEFT(C25,LEN(C25)-1))&gt;=总览!$H$6),总览!$I$6,IF(AND(总览!$F$6&lt;&gt;"",B25*100+VALUE(LEFT(C25,LEN(C25)-1))&gt;=总览!$F$6),总览!$G$6,IF(AND(总览!$D$6&lt;&gt;"",B25*100+VALUE(LEFT(C25,LEN(C25)-1))&gt;=总览!$D$6),总览!$E$6,总览!$B$6)))))</f>
        <v/>
      </c>
      <c r="E25" s="32">
        <f>IF(C25="12月",IF(AND(总览!$L$7&lt;&gt;"",B25*100+VALUE(LEFT(C25,LEN(C25)-1))&gt;=总览!$L$7),总览!$M$7,IF(AND(总览!$J$7&lt;&gt;"",B25*100+VALUE(LEFT(C25,LEN(C25)-1))&gt;=总览!$J$7),总览!$K$7,IF(AND(总览!$H$7&lt;&gt;"",B25*100+VALUE(LEFT(C25,LEN(C25)-1))&gt;=总览!$H$7),总览!$I$7,IF(AND(总览!$F$7&lt;&gt;"",B25*100+VALUE(LEFT(C25,LEN(C25)-1))&gt;=总览!$F$7),总览!$G$7,IF(AND(总览!$D$7&lt;&gt;"",B25*100+VALUE(LEFT(C25,LEN(C25)-1))&gt;=总览!$D$7),总览!$E$7,总览!$B$7))))),0)</f>
        <v/>
      </c>
      <c r="F25" s="32">
        <f>ROUND(Q24*总览!$B$14/12,0)</f>
        <v/>
      </c>
      <c r="G25" s="32">
        <f>D25+E25+F25</f>
        <v/>
      </c>
      <c r="H25" s="32">
        <f>IF(OR(B25&gt;2027,AND(B25=2027,VALUE(LEFT(C25,LEN(C25)-1))&gt;=9)),IF(AND(总览!$L$10&lt;&gt;"",B25*100+VALUE(LEFT(C25,LEN(C25)-1))&gt;=总览!$L$10),总览!$M$10,IF(AND(总览!$J$10&lt;&gt;"",B25*100+VALUE(LEFT(C25,LEN(C25)-1))&gt;=总览!$J$10),总览!$K$10,IF(AND(总览!$H$10&lt;&gt;"",B25*100+VALUE(LEFT(C25,LEN(C25)-1))&gt;=总览!$H$10),总览!$I$10,IF(AND(总览!$F$10&lt;&gt;"",B25*100+VALUE(LEFT(C25,LEN(C25)-1))&gt;=总览!$F$10),总览!$G$10,IF(AND(总览!$D$10&lt;&gt;"",B25*100+VALUE(LEFT(C25,LEN(C25)-1))&gt;=总览!$D$10),总览!$E$10,总览!$B$10))))),IF(AND(总览!$L$9&lt;&gt;"",B25*100+VALUE(LEFT(C25,LEN(C25)-1))&gt;=总览!$L$9),总览!$M$9,IF(AND(总览!$J$9&lt;&gt;"",B25*100+VALUE(LEFT(C25,LEN(C25)-1))&gt;=总览!$J$9),总览!$K$9,IF(AND(总览!$H$9&lt;&gt;"",B25*100+VALUE(LEFT(C25,LEN(C25)-1))&gt;=总览!$H$9),总览!$I$9,IF(AND(总览!$F$9&lt;&gt;"",B25*100+VALUE(LEFT(C25,LEN(C25)-1))&gt;=总览!$F$9),总览!$G$9,IF(AND(总览!$D$9&lt;&gt;"",B25*100+VALUE(LEFT(C25,LEN(C25)-1))&gt;=总览!$D$9),总览!$E$9,总览!$B$9))))))</f>
        <v/>
      </c>
      <c r="I25" s="32">
        <f>IF(AND(总览!$L$11&lt;&gt;"",B25*100+VALUE(LEFT(C25,LEN(C25)-1))&gt;=总览!$L$11),总览!$M$11,IF(AND(总览!$J$11&lt;&gt;"",B25*100+VALUE(LEFT(C25,LEN(C25)-1))&gt;=总览!$J$11),总览!$K$11,IF(AND(总览!$H$11&lt;&gt;"",B25*100+VALUE(LEFT(C25,LEN(C25)-1))&gt;=总览!$H$11),总览!$I$11,IF(AND(总览!$F$11&lt;&gt;"",B25*100+VALUE(LEFT(C25,LEN(C25)-1))&gt;=总览!$F$11),总览!$G$11,IF(AND(总览!$D$11&lt;&gt;"",B25*100+VALUE(LEFT(C25,LEN(C25)-1))&gt;=总览!$D$11),总览!$E$11,总览!$B$11)))))</f>
        <v/>
      </c>
      <c r="J25" s="32">
        <f>IF(OR(B25&gt;2027,AND(B25=2027,VALUE(LEFT(C25,LEN(C25)-1))&gt;=9)),IF(AND(总览!$L$12&lt;&gt;"",B25*100+VALUE(LEFT(C25,LEN(C25)-1))&gt;=总览!$L$12),总览!$M$12,IF(AND(总览!$J$12&lt;&gt;"",B25*100+VALUE(LEFT(C25,LEN(C25)-1))&gt;=总览!$J$12),总览!$K$12,IF(AND(总览!$H$12&lt;&gt;"",B25*100+VALUE(LEFT(C25,LEN(C25)-1))&gt;=总览!$H$12),总览!$I$12,IF(AND(总览!$F$12&lt;&gt;"",B25*100+VALUE(LEFT(C25,LEN(C25)-1))&gt;=总览!$F$12),总览!$G$12,IF(AND(总览!$D$12&lt;&gt;"",B25*100+VALUE(LEFT(C25,LEN(C25)-1))&gt;=总览!$D$12),总览!$E$12,总览!$B$12))))),0)</f>
        <v/>
      </c>
      <c r="K25" s="32">
        <f>IF(AND(B25=2026,C25="5月"),120000,IF(AND(B25=2027,C25="9月"),30000,IF(C25="10月",IF(AND(总览!$L$13&lt;&gt;"",B25*100+VALUE(LEFT(C25,LEN(C25)-1))&gt;=总览!$L$13),总览!$M$13,IF(AND(总览!$J$13&lt;&gt;"",B25*100+VALUE(LEFT(C25,LEN(C25)-1))&gt;=总览!$J$13),总览!$K$13,IF(AND(总览!$H$13&lt;&gt;"",B25*100+VALUE(LEFT(C25,LEN(C25)-1))&gt;=总览!$H$13),总览!$I$13,IF(AND(总览!$F$13&lt;&gt;"",B25*100+VALUE(LEFT(C25,LEN(C25)-1))&gt;=总览!$F$13),总览!$G$13,IF(AND(总览!$D$13&lt;&gt;"",B25*100+VALUE(LEFT(C25,LEN(C25)-1))&gt;=总览!$D$13),总览!$E$13,总览!$B$13))))),0)))</f>
        <v/>
      </c>
      <c r="L25" s="31" t="inlineStr"/>
      <c r="M25" s="32">
        <f>IF(B25*100+VALUE(LEFT(C25,LEN(C25)-1))=总览!$B$18,总览!$B$23,0)</f>
        <v/>
      </c>
      <c r="N25" s="32">
        <f>IF(B25*100+VALUE(LEFT(C25,LEN(C25)-1))&gt;总览!$B$18,总览!$B$25,0)</f>
        <v/>
      </c>
      <c r="O25" s="32">
        <f>SUM(H25:J25)+K25+M25+N25</f>
        <v/>
      </c>
      <c r="P25" s="32">
        <f>G25-O25</f>
        <v/>
      </c>
      <c r="Q25" s="32">
        <f>Q24+P25</f>
        <v/>
      </c>
      <c r="R25" s="32">
        <f>IF(B25*100+VALUE(LEFT(C25,LEN(C25)-1))&lt;总览!$B$18,0,IF(B25*100+VALUE(LEFT(C25,LEN(C25)-1))=总览!$B$18,总览!$B$24,R24-(总览!$B$25-R24*总览!$B$22/12)))</f>
        <v/>
      </c>
    </row>
    <row r="26">
      <c r="A26" s="30" t="n">
        <v>25</v>
      </c>
      <c r="B26" s="30" t="n">
        <v>2028</v>
      </c>
      <c r="C26" s="30" t="inlineStr">
        <is>
          <t>2月</t>
        </is>
      </c>
      <c r="D26" s="11">
        <f>IF(AND(总览!$L$6&lt;&gt;"",B26*100+VALUE(LEFT(C26,LEN(C26)-1))&gt;=总览!$L$6),总览!$M$6,IF(AND(总览!$J$6&lt;&gt;"",B26*100+VALUE(LEFT(C26,LEN(C26)-1))&gt;=总览!$J$6),总览!$K$6,IF(AND(总览!$H$6&lt;&gt;"",B26*100+VALUE(LEFT(C26,LEN(C26)-1))&gt;=总览!$H$6),总览!$I$6,IF(AND(总览!$F$6&lt;&gt;"",B26*100+VALUE(LEFT(C26,LEN(C26)-1))&gt;=总览!$F$6),总览!$G$6,IF(AND(总览!$D$6&lt;&gt;"",B26*100+VALUE(LEFT(C26,LEN(C26)-1))&gt;=总览!$D$6),总览!$E$6,总览!$B$6)))))</f>
        <v/>
      </c>
      <c r="E26" s="11">
        <f>IF(C26="12月",IF(AND(总览!$L$7&lt;&gt;"",B26*100+VALUE(LEFT(C26,LEN(C26)-1))&gt;=总览!$L$7),总览!$M$7,IF(AND(总览!$J$7&lt;&gt;"",B26*100+VALUE(LEFT(C26,LEN(C26)-1))&gt;=总览!$J$7),总览!$K$7,IF(AND(总览!$H$7&lt;&gt;"",B26*100+VALUE(LEFT(C26,LEN(C26)-1))&gt;=总览!$H$7),总览!$I$7,IF(AND(总览!$F$7&lt;&gt;"",B26*100+VALUE(LEFT(C26,LEN(C26)-1))&gt;=总览!$F$7),总览!$G$7,IF(AND(总览!$D$7&lt;&gt;"",B26*100+VALUE(LEFT(C26,LEN(C26)-1))&gt;=总览!$D$7),总览!$E$7,总览!$B$7))))),0)</f>
        <v/>
      </c>
      <c r="F26" s="11">
        <f>ROUND(Q25*总览!$B$14/12,0)</f>
        <v/>
      </c>
      <c r="G26" s="11">
        <f>D26+E26+F26</f>
        <v/>
      </c>
      <c r="H26" s="11">
        <f>IF(OR(B26&gt;2027,AND(B26=2027,VALUE(LEFT(C26,LEN(C26)-1))&gt;=9)),IF(AND(总览!$L$10&lt;&gt;"",B26*100+VALUE(LEFT(C26,LEN(C26)-1))&gt;=总览!$L$10),总览!$M$10,IF(AND(总览!$J$10&lt;&gt;"",B26*100+VALUE(LEFT(C26,LEN(C26)-1))&gt;=总览!$J$10),总览!$K$10,IF(AND(总览!$H$10&lt;&gt;"",B26*100+VALUE(LEFT(C26,LEN(C26)-1))&gt;=总览!$H$10),总览!$I$10,IF(AND(总览!$F$10&lt;&gt;"",B26*100+VALUE(LEFT(C26,LEN(C26)-1))&gt;=总览!$F$10),总览!$G$10,IF(AND(总览!$D$10&lt;&gt;"",B26*100+VALUE(LEFT(C26,LEN(C26)-1))&gt;=总览!$D$10),总览!$E$10,总览!$B$10))))),IF(AND(总览!$L$9&lt;&gt;"",B26*100+VALUE(LEFT(C26,LEN(C26)-1))&gt;=总览!$L$9),总览!$M$9,IF(AND(总览!$J$9&lt;&gt;"",B26*100+VALUE(LEFT(C26,LEN(C26)-1))&gt;=总览!$J$9),总览!$K$9,IF(AND(总览!$H$9&lt;&gt;"",B26*100+VALUE(LEFT(C26,LEN(C26)-1))&gt;=总览!$H$9),总览!$I$9,IF(AND(总览!$F$9&lt;&gt;"",B26*100+VALUE(LEFT(C26,LEN(C26)-1))&gt;=总览!$F$9),总览!$G$9,IF(AND(总览!$D$9&lt;&gt;"",B26*100+VALUE(LEFT(C26,LEN(C26)-1))&gt;=总览!$D$9),总览!$E$9,总览!$B$9))))))</f>
        <v/>
      </c>
      <c r="I26" s="11">
        <f>IF(AND(总览!$L$11&lt;&gt;"",B26*100+VALUE(LEFT(C26,LEN(C26)-1))&gt;=总览!$L$11),总览!$M$11,IF(AND(总览!$J$11&lt;&gt;"",B26*100+VALUE(LEFT(C26,LEN(C26)-1))&gt;=总览!$J$11),总览!$K$11,IF(AND(总览!$H$11&lt;&gt;"",B26*100+VALUE(LEFT(C26,LEN(C26)-1))&gt;=总览!$H$11),总览!$I$11,IF(AND(总览!$F$11&lt;&gt;"",B26*100+VALUE(LEFT(C26,LEN(C26)-1))&gt;=总览!$F$11),总览!$G$11,IF(AND(总览!$D$11&lt;&gt;"",B26*100+VALUE(LEFT(C26,LEN(C26)-1))&gt;=总览!$D$11),总览!$E$11,总览!$B$11)))))</f>
        <v/>
      </c>
      <c r="J26" s="11">
        <f>IF(OR(B26&gt;2027,AND(B26=2027,VALUE(LEFT(C26,LEN(C26)-1))&gt;=9)),IF(AND(总览!$L$12&lt;&gt;"",B26*100+VALUE(LEFT(C26,LEN(C26)-1))&gt;=总览!$L$12),总览!$M$12,IF(AND(总览!$J$12&lt;&gt;"",B26*100+VALUE(LEFT(C26,LEN(C26)-1))&gt;=总览!$J$12),总览!$K$12,IF(AND(总览!$H$12&lt;&gt;"",B26*100+VALUE(LEFT(C26,LEN(C26)-1))&gt;=总览!$H$12),总览!$I$12,IF(AND(总览!$F$12&lt;&gt;"",B26*100+VALUE(LEFT(C26,LEN(C26)-1))&gt;=总览!$F$12),总览!$G$12,IF(AND(总览!$D$12&lt;&gt;"",B26*100+VALUE(LEFT(C26,LEN(C26)-1))&gt;=总览!$D$12),总览!$E$12,总览!$B$12))))),0)</f>
        <v/>
      </c>
      <c r="K26" s="11">
        <f>IF(AND(B26=2026,C26="5月"),120000,IF(AND(B26=2027,C26="9月"),30000,IF(C26="10月",IF(AND(总览!$L$13&lt;&gt;"",B26*100+VALUE(LEFT(C26,LEN(C26)-1))&gt;=总览!$L$13),总览!$M$13,IF(AND(总览!$J$13&lt;&gt;"",B26*100+VALUE(LEFT(C26,LEN(C26)-1))&gt;=总览!$J$13),总览!$K$13,IF(AND(总览!$H$13&lt;&gt;"",B26*100+VALUE(LEFT(C26,LEN(C26)-1))&gt;=总览!$H$13),总览!$I$13,IF(AND(总览!$F$13&lt;&gt;"",B26*100+VALUE(LEFT(C26,LEN(C26)-1))&gt;=总览!$F$13),总览!$G$13,IF(AND(总览!$D$13&lt;&gt;"",B26*100+VALUE(LEFT(C26,LEN(C26)-1))&gt;=总览!$D$13),总览!$E$13,总览!$B$13))))),0)))</f>
        <v/>
      </c>
      <c r="L26" s="30" t="inlineStr"/>
      <c r="M26" s="11">
        <f>IF(B26*100+VALUE(LEFT(C26,LEN(C26)-1))=总览!$B$18,总览!$B$23,0)</f>
        <v/>
      </c>
      <c r="N26" s="11">
        <f>IF(B26*100+VALUE(LEFT(C26,LEN(C26)-1))&gt;总览!$B$18,总览!$B$25,0)</f>
        <v/>
      </c>
      <c r="O26" s="11">
        <f>SUM(H26:J26)+K26+M26+N26</f>
        <v/>
      </c>
      <c r="P26" s="11">
        <f>G26-O26</f>
        <v/>
      </c>
      <c r="Q26" s="11">
        <f>Q25+P26</f>
        <v/>
      </c>
      <c r="R26" s="11">
        <f>IF(B26*100+VALUE(LEFT(C26,LEN(C26)-1))&lt;总览!$B$18,0,IF(B26*100+VALUE(LEFT(C26,LEN(C26)-1))=总览!$B$18,总览!$B$24,R25-(总览!$B$25-R25*总览!$B$22/12)))</f>
        <v/>
      </c>
    </row>
    <row r="27">
      <c r="A27" s="31" t="n">
        <v>26</v>
      </c>
      <c r="B27" s="31" t="n">
        <v>2028</v>
      </c>
      <c r="C27" s="31" t="inlineStr">
        <is>
          <t>3月</t>
        </is>
      </c>
      <c r="D27" s="32">
        <f>IF(AND(总览!$L$6&lt;&gt;"",B27*100+VALUE(LEFT(C27,LEN(C27)-1))&gt;=总览!$L$6),总览!$M$6,IF(AND(总览!$J$6&lt;&gt;"",B27*100+VALUE(LEFT(C27,LEN(C27)-1))&gt;=总览!$J$6),总览!$K$6,IF(AND(总览!$H$6&lt;&gt;"",B27*100+VALUE(LEFT(C27,LEN(C27)-1))&gt;=总览!$H$6),总览!$I$6,IF(AND(总览!$F$6&lt;&gt;"",B27*100+VALUE(LEFT(C27,LEN(C27)-1))&gt;=总览!$F$6),总览!$G$6,IF(AND(总览!$D$6&lt;&gt;"",B27*100+VALUE(LEFT(C27,LEN(C27)-1))&gt;=总览!$D$6),总览!$E$6,总览!$B$6)))))</f>
        <v/>
      </c>
      <c r="E27" s="32">
        <f>IF(C27="12月",IF(AND(总览!$L$7&lt;&gt;"",B27*100+VALUE(LEFT(C27,LEN(C27)-1))&gt;=总览!$L$7),总览!$M$7,IF(AND(总览!$J$7&lt;&gt;"",B27*100+VALUE(LEFT(C27,LEN(C27)-1))&gt;=总览!$J$7),总览!$K$7,IF(AND(总览!$H$7&lt;&gt;"",B27*100+VALUE(LEFT(C27,LEN(C27)-1))&gt;=总览!$H$7),总览!$I$7,IF(AND(总览!$F$7&lt;&gt;"",B27*100+VALUE(LEFT(C27,LEN(C27)-1))&gt;=总览!$F$7),总览!$G$7,IF(AND(总览!$D$7&lt;&gt;"",B27*100+VALUE(LEFT(C27,LEN(C27)-1))&gt;=总览!$D$7),总览!$E$7,总览!$B$7))))),0)</f>
        <v/>
      </c>
      <c r="F27" s="32">
        <f>ROUND(Q26*总览!$B$14/12,0)</f>
        <v/>
      </c>
      <c r="G27" s="32">
        <f>D27+E27+F27</f>
        <v/>
      </c>
      <c r="H27" s="32">
        <f>IF(OR(B27&gt;2027,AND(B27=2027,VALUE(LEFT(C27,LEN(C27)-1))&gt;=9)),IF(AND(总览!$L$10&lt;&gt;"",B27*100+VALUE(LEFT(C27,LEN(C27)-1))&gt;=总览!$L$10),总览!$M$10,IF(AND(总览!$J$10&lt;&gt;"",B27*100+VALUE(LEFT(C27,LEN(C27)-1))&gt;=总览!$J$10),总览!$K$10,IF(AND(总览!$H$10&lt;&gt;"",B27*100+VALUE(LEFT(C27,LEN(C27)-1))&gt;=总览!$H$10),总览!$I$10,IF(AND(总览!$F$10&lt;&gt;"",B27*100+VALUE(LEFT(C27,LEN(C27)-1))&gt;=总览!$F$10),总览!$G$10,IF(AND(总览!$D$10&lt;&gt;"",B27*100+VALUE(LEFT(C27,LEN(C27)-1))&gt;=总览!$D$10),总览!$E$10,总览!$B$10))))),IF(AND(总览!$L$9&lt;&gt;"",B27*100+VALUE(LEFT(C27,LEN(C27)-1))&gt;=总览!$L$9),总览!$M$9,IF(AND(总览!$J$9&lt;&gt;"",B27*100+VALUE(LEFT(C27,LEN(C27)-1))&gt;=总览!$J$9),总览!$K$9,IF(AND(总览!$H$9&lt;&gt;"",B27*100+VALUE(LEFT(C27,LEN(C27)-1))&gt;=总览!$H$9),总览!$I$9,IF(AND(总览!$F$9&lt;&gt;"",B27*100+VALUE(LEFT(C27,LEN(C27)-1))&gt;=总览!$F$9),总览!$G$9,IF(AND(总览!$D$9&lt;&gt;"",B27*100+VALUE(LEFT(C27,LEN(C27)-1))&gt;=总览!$D$9),总览!$E$9,总览!$B$9))))))</f>
        <v/>
      </c>
      <c r="I27" s="32">
        <f>IF(AND(总览!$L$11&lt;&gt;"",B27*100+VALUE(LEFT(C27,LEN(C27)-1))&gt;=总览!$L$11),总览!$M$11,IF(AND(总览!$J$11&lt;&gt;"",B27*100+VALUE(LEFT(C27,LEN(C27)-1))&gt;=总览!$J$11),总览!$K$11,IF(AND(总览!$H$11&lt;&gt;"",B27*100+VALUE(LEFT(C27,LEN(C27)-1))&gt;=总览!$H$11),总览!$I$11,IF(AND(总览!$F$11&lt;&gt;"",B27*100+VALUE(LEFT(C27,LEN(C27)-1))&gt;=总览!$F$11),总览!$G$11,IF(AND(总览!$D$11&lt;&gt;"",B27*100+VALUE(LEFT(C27,LEN(C27)-1))&gt;=总览!$D$11),总览!$E$11,总览!$B$11)))))</f>
        <v/>
      </c>
      <c r="J27" s="32">
        <f>IF(OR(B27&gt;2027,AND(B27=2027,VALUE(LEFT(C27,LEN(C27)-1))&gt;=9)),IF(AND(总览!$L$12&lt;&gt;"",B27*100+VALUE(LEFT(C27,LEN(C27)-1))&gt;=总览!$L$12),总览!$M$12,IF(AND(总览!$J$12&lt;&gt;"",B27*100+VALUE(LEFT(C27,LEN(C27)-1))&gt;=总览!$J$12),总览!$K$12,IF(AND(总览!$H$12&lt;&gt;"",B27*100+VALUE(LEFT(C27,LEN(C27)-1))&gt;=总览!$H$12),总览!$I$12,IF(AND(总览!$F$12&lt;&gt;"",B27*100+VALUE(LEFT(C27,LEN(C27)-1))&gt;=总览!$F$12),总览!$G$12,IF(AND(总览!$D$12&lt;&gt;"",B27*100+VALUE(LEFT(C27,LEN(C27)-1))&gt;=总览!$D$12),总览!$E$12,总览!$B$12))))),0)</f>
        <v/>
      </c>
      <c r="K27" s="32">
        <f>IF(AND(B27=2026,C27="5月"),120000,IF(AND(B27=2027,C27="9月"),30000,IF(C27="10月",IF(AND(总览!$L$13&lt;&gt;"",B27*100+VALUE(LEFT(C27,LEN(C27)-1))&gt;=总览!$L$13),总览!$M$13,IF(AND(总览!$J$13&lt;&gt;"",B27*100+VALUE(LEFT(C27,LEN(C27)-1))&gt;=总览!$J$13),总览!$K$13,IF(AND(总览!$H$13&lt;&gt;"",B27*100+VALUE(LEFT(C27,LEN(C27)-1))&gt;=总览!$H$13),总览!$I$13,IF(AND(总览!$F$13&lt;&gt;"",B27*100+VALUE(LEFT(C27,LEN(C27)-1))&gt;=总览!$F$13),总览!$G$13,IF(AND(总览!$D$13&lt;&gt;"",B27*100+VALUE(LEFT(C27,LEN(C27)-1))&gt;=总览!$D$13),总览!$E$13,总览!$B$13))))),0)))</f>
        <v/>
      </c>
      <c r="L27" s="31" t="inlineStr"/>
      <c r="M27" s="32">
        <f>IF(B27*100+VALUE(LEFT(C27,LEN(C27)-1))=总览!$B$18,总览!$B$23,0)</f>
        <v/>
      </c>
      <c r="N27" s="32">
        <f>IF(B27*100+VALUE(LEFT(C27,LEN(C27)-1))&gt;总览!$B$18,总览!$B$25,0)</f>
        <v/>
      </c>
      <c r="O27" s="32">
        <f>SUM(H27:J27)+K27+M27+N27</f>
        <v/>
      </c>
      <c r="P27" s="32">
        <f>G27-O27</f>
        <v/>
      </c>
      <c r="Q27" s="32">
        <f>Q26+P27</f>
        <v/>
      </c>
      <c r="R27" s="32">
        <f>IF(B27*100+VALUE(LEFT(C27,LEN(C27)-1))&lt;总览!$B$18,0,IF(B27*100+VALUE(LEFT(C27,LEN(C27)-1))=总览!$B$18,总览!$B$24,R26-(总览!$B$25-R26*总览!$B$22/12)))</f>
        <v/>
      </c>
    </row>
    <row r="28">
      <c r="A28" s="30" t="n">
        <v>27</v>
      </c>
      <c r="B28" s="30" t="n">
        <v>2028</v>
      </c>
      <c r="C28" s="30" t="inlineStr">
        <is>
          <t>4月</t>
        </is>
      </c>
      <c r="D28" s="11">
        <f>IF(AND(总览!$L$6&lt;&gt;"",B28*100+VALUE(LEFT(C28,LEN(C28)-1))&gt;=总览!$L$6),总览!$M$6,IF(AND(总览!$J$6&lt;&gt;"",B28*100+VALUE(LEFT(C28,LEN(C28)-1))&gt;=总览!$J$6),总览!$K$6,IF(AND(总览!$H$6&lt;&gt;"",B28*100+VALUE(LEFT(C28,LEN(C28)-1))&gt;=总览!$H$6),总览!$I$6,IF(AND(总览!$F$6&lt;&gt;"",B28*100+VALUE(LEFT(C28,LEN(C28)-1))&gt;=总览!$F$6),总览!$G$6,IF(AND(总览!$D$6&lt;&gt;"",B28*100+VALUE(LEFT(C28,LEN(C28)-1))&gt;=总览!$D$6),总览!$E$6,总览!$B$6)))))</f>
        <v/>
      </c>
      <c r="E28" s="11">
        <f>IF(C28="12月",IF(AND(总览!$L$7&lt;&gt;"",B28*100+VALUE(LEFT(C28,LEN(C28)-1))&gt;=总览!$L$7),总览!$M$7,IF(AND(总览!$J$7&lt;&gt;"",B28*100+VALUE(LEFT(C28,LEN(C28)-1))&gt;=总览!$J$7),总览!$K$7,IF(AND(总览!$H$7&lt;&gt;"",B28*100+VALUE(LEFT(C28,LEN(C28)-1))&gt;=总览!$H$7),总览!$I$7,IF(AND(总览!$F$7&lt;&gt;"",B28*100+VALUE(LEFT(C28,LEN(C28)-1))&gt;=总览!$F$7),总览!$G$7,IF(AND(总览!$D$7&lt;&gt;"",B28*100+VALUE(LEFT(C28,LEN(C28)-1))&gt;=总览!$D$7),总览!$E$7,总览!$B$7))))),0)</f>
        <v/>
      </c>
      <c r="F28" s="11">
        <f>ROUND(Q27*总览!$B$14/12,0)</f>
        <v/>
      </c>
      <c r="G28" s="11">
        <f>D28+E28+F28</f>
        <v/>
      </c>
      <c r="H28" s="11">
        <f>IF(OR(B28&gt;2027,AND(B28=2027,VALUE(LEFT(C28,LEN(C28)-1))&gt;=9)),IF(AND(总览!$L$10&lt;&gt;"",B28*100+VALUE(LEFT(C28,LEN(C28)-1))&gt;=总览!$L$10),总览!$M$10,IF(AND(总览!$J$10&lt;&gt;"",B28*100+VALUE(LEFT(C28,LEN(C28)-1))&gt;=总览!$J$10),总览!$K$10,IF(AND(总览!$H$10&lt;&gt;"",B28*100+VALUE(LEFT(C28,LEN(C28)-1))&gt;=总览!$H$10),总览!$I$10,IF(AND(总览!$F$10&lt;&gt;"",B28*100+VALUE(LEFT(C28,LEN(C28)-1))&gt;=总览!$F$10),总览!$G$10,IF(AND(总览!$D$10&lt;&gt;"",B28*100+VALUE(LEFT(C28,LEN(C28)-1))&gt;=总览!$D$10),总览!$E$10,总览!$B$10))))),IF(AND(总览!$L$9&lt;&gt;"",B28*100+VALUE(LEFT(C28,LEN(C28)-1))&gt;=总览!$L$9),总览!$M$9,IF(AND(总览!$J$9&lt;&gt;"",B28*100+VALUE(LEFT(C28,LEN(C28)-1))&gt;=总览!$J$9),总览!$K$9,IF(AND(总览!$H$9&lt;&gt;"",B28*100+VALUE(LEFT(C28,LEN(C28)-1))&gt;=总览!$H$9),总览!$I$9,IF(AND(总览!$F$9&lt;&gt;"",B28*100+VALUE(LEFT(C28,LEN(C28)-1))&gt;=总览!$F$9),总览!$G$9,IF(AND(总览!$D$9&lt;&gt;"",B28*100+VALUE(LEFT(C28,LEN(C28)-1))&gt;=总览!$D$9),总览!$E$9,总览!$B$9))))))</f>
        <v/>
      </c>
      <c r="I28" s="11">
        <f>IF(AND(总览!$L$11&lt;&gt;"",B28*100+VALUE(LEFT(C28,LEN(C28)-1))&gt;=总览!$L$11),总览!$M$11,IF(AND(总览!$J$11&lt;&gt;"",B28*100+VALUE(LEFT(C28,LEN(C28)-1))&gt;=总览!$J$11),总览!$K$11,IF(AND(总览!$H$11&lt;&gt;"",B28*100+VALUE(LEFT(C28,LEN(C28)-1))&gt;=总览!$H$11),总览!$I$11,IF(AND(总览!$F$11&lt;&gt;"",B28*100+VALUE(LEFT(C28,LEN(C28)-1))&gt;=总览!$F$11),总览!$G$11,IF(AND(总览!$D$11&lt;&gt;"",B28*100+VALUE(LEFT(C28,LEN(C28)-1))&gt;=总览!$D$11),总览!$E$11,总览!$B$11)))))</f>
        <v/>
      </c>
      <c r="J28" s="11">
        <f>IF(OR(B28&gt;2027,AND(B28=2027,VALUE(LEFT(C28,LEN(C28)-1))&gt;=9)),IF(AND(总览!$L$12&lt;&gt;"",B28*100+VALUE(LEFT(C28,LEN(C28)-1))&gt;=总览!$L$12),总览!$M$12,IF(AND(总览!$J$12&lt;&gt;"",B28*100+VALUE(LEFT(C28,LEN(C28)-1))&gt;=总览!$J$12),总览!$K$12,IF(AND(总览!$H$12&lt;&gt;"",B28*100+VALUE(LEFT(C28,LEN(C28)-1))&gt;=总览!$H$12),总览!$I$12,IF(AND(总览!$F$12&lt;&gt;"",B28*100+VALUE(LEFT(C28,LEN(C28)-1))&gt;=总览!$F$12),总览!$G$12,IF(AND(总览!$D$12&lt;&gt;"",B28*100+VALUE(LEFT(C28,LEN(C28)-1))&gt;=总览!$D$12),总览!$E$12,总览!$B$12))))),0)</f>
        <v/>
      </c>
      <c r="K28" s="11">
        <f>IF(AND(B28=2026,C28="5月"),120000,IF(AND(B28=2027,C28="9月"),30000,IF(C28="10月",IF(AND(总览!$L$13&lt;&gt;"",B28*100+VALUE(LEFT(C28,LEN(C28)-1))&gt;=总览!$L$13),总览!$M$13,IF(AND(总览!$J$13&lt;&gt;"",B28*100+VALUE(LEFT(C28,LEN(C28)-1))&gt;=总览!$J$13),总览!$K$13,IF(AND(总览!$H$13&lt;&gt;"",B28*100+VALUE(LEFT(C28,LEN(C28)-1))&gt;=总览!$H$13),总览!$I$13,IF(AND(总览!$F$13&lt;&gt;"",B28*100+VALUE(LEFT(C28,LEN(C28)-1))&gt;=总览!$F$13),总览!$G$13,IF(AND(总览!$D$13&lt;&gt;"",B28*100+VALUE(LEFT(C28,LEN(C28)-1))&gt;=总览!$D$13),总览!$E$13,总览!$B$13))))),0)))</f>
        <v/>
      </c>
      <c r="L28" s="30" t="inlineStr"/>
      <c r="M28" s="11">
        <f>IF(B28*100+VALUE(LEFT(C28,LEN(C28)-1))=总览!$B$18,总览!$B$23,0)</f>
        <v/>
      </c>
      <c r="N28" s="11">
        <f>IF(B28*100+VALUE(LEFT(C28,LEN(C28)-1))&gt;总览!$B$18,总览!$B$25,0)</f>
        <v/>
      </c>
      <c r="O28" s="11">
        <f>SUM(H28:J28)+K28+M28+N28</f>
        <v/>
      </c>
      <c r="P28" s="11">
        <f>G28-O28</f>
        <v/>
      </c>
      <c r="Q28" s="11">
        <f>Q27+P28</f>
        <v/>
      </c>
      <c r="R28" s="11">
        <f>IF(B28*100+VALUE(LEFT(C28,LEN(C28)-1))&lt;总览!$B$18,0,IF(B28*100+VALUE(LEFT(C28,LEN(C28)-1))=总览!$B$18,总览!$B$24,R27-(总览!$B$25-R27*总览!$B$22/12)))</f>
        <v/>
      </c>
    </row>
    <row r="29">
      <c r="A29" s="31" t="n">
        <v>28</v>
      </c>
      <c r="B29" s="31" t="n">
        <v>2028</v>
      </c>
      <c r="C29" s="31" t="inlineStr">
        <is>
          <t>5月</t>
        </is>
      </c>
      <c r="D29" s="32">
        <f>IF(AND(总览!$L$6&lt;&gt;"",B29*100+VALUE(LEFT(C29,LEN(C29)-1))&gt;=总览!$L$6),总览!$M$6,IF(AND(总览!$J$6&lt;&gt;"",B29*100+VALUE(LEFT(C29,LEN(C29)-1))&gt;=总览!$J$6),总览!$K$6,IF(AND(总览!$H$6&lt;&gt;"",B29*100+VALUE(LEFT(C29,LEN(C29)-1))&gt;=总览!$H$6),总览!$I$6,IF(AND(总览!$F$6&lt;&gt;"",B29*100+VALUE(LEFT(C29,LEN(C29)-1))&gt;=总览!$F$6),总览!$G$6,IF(AND(总览!$D$6&lt;&gt;"",B29*100+VALUE(LEFT(C29,LEN(C29)-1))&gt;=总览!$D$6),总览!$E$6,总览!$B$6)))))</f>
        <v/>
      </c>
      <c r="E29" s="32">
        <f>IF(C29="12月",IF(AND(总览!$L$7&lt;&gt;"",B29*100+VALUE(LEFT(C29,LEN(C29)-1))&gt;=总览!$L$7),总览!$M$7,IF(AND(总览!$J$7&lt;&gt;"",B29*100+VALUE(LEFT(C29,LEN(C29)-1))&gt;=总览!$J$7),总览!$K$7,IF(AND(总览!$H$7&lt;&gt;"",B29*100+VALUE(LEFT(C29,LEN(C29)-1))&gt;=总览!$H$7),总览!$I$7,IF(AND(总览!$F$7&lt;&gt;"",B29*100+VALUE(LEFT(C29,LEN(C29)-1))&gt;=总览!$F$7),总览!$G$7,IF(AND(总览!$D$7&lt;&gt;"",B29*100+VALUE(LEFT(C29,LEN(C29)-1))&gt;=总览!$D$7),总览!$E$7,总览!$B$7))))),0)</f>
        <v/>
      </c>
      <c r="F29" s="32">
        <f>ROUND(Q28*总览!$B$14/12,0)</f>
        <v/>
      </c>
      <c r="G29" s="32">
        <f>D29+E29+F29</f>
        <v/>
      </c>
      <c r="H29" s="32">
        <f>IF(OR(B29&gt;2027,AND(B29=2027,VALUE(LEFT(C29,LEN(C29)-1))&gt;=9)),IF(AND(总览!$L$10&lt;&gt;"",B29*100+VALUE(LEFT(C29,LEN(C29)-1))&gt;=总览!$L$10),总览!$M$10,IF(AND(总览!$J$10&lt;&gt;"",B29*100+VALUE(LEFT(C29,LEN(C29)-1))&gt;=总览!$J$10),总览!$K$10,IF(AND(总览!$H$10&lt;&gt;"",B29*100+VALUE(LEFT(C29,LEN(C29)-1))&gt;=总览!$H$10),总览!$I$10,IF(AND(总览!$F$10&lt;&gt;"",B29*100+VALUE(LEFT(C29,LEN(C29)-1))&gt;=总览!$F$10),总览!$G$10,IF(AND(总览!$D$10&lt;&gt;"",B29*100+VALUE(LEFT(C29,LEN(C29)-1))&gt;=总览!$D$10),总览!$E$10,总览!$B$10))))),IF(AND(总览!$L$9&lt;&gt;"",B29*100+VALUE(LEFT(C29,LEN(C29)-1))&gt;=总览!$L$9),总览!$M$9,IF(AND(总览!$J$9&lt;&gt;"",B29*100+VALUE(LEFT(C29,LEN(C29)-1))&gt;=总览!$J$9),总览!$K$9,IF(AND(总览!$H$9&lt;&gt;"",B29*100+VALUE(LEFT(C29,LEN(C29)-1))&gt;=总览!$H$9),总览!$I$9,IF(AND(总览!$F$9&lt;&gt;"",B29*100+VALUE(LEFT(C29,LEN(C29)-1))&gt;=总览!$F$9),总览!$G$9,IF(AND(总览!$D$9&lt;&gt;"",B29*100+VALUE(LEFT(C29,LEN(C29)-1))&gt;=总览!$D$9),总览!$E$9,总览!$B$9))))))</f>
        <v/>
      </c>
      <c r="I29" s="32">
        <f>IF(AND(总览!$L$11&lt;&gt;"",B29*100+VALUE(LEFT(C29,LEN(C29)-1))&gt;=总览!$L$11),总览!$M$11,IF(AND(总览!$J$11&lt;&gt;"",B29*100+VALUE(LEFT(C29,LEN(C29)-1))&gt;=总览!$J$11),总览!$K$11,IF(AND(总览!$H$11&lt;&gt;"",B29*100+VALUE(LEFT(C29,LEN(C29)-1))&gt;=总览!$H$11),总览!$I$11,IF(AND(总览!$F$11&lt;&gt;"",B29*100+VALUE(LEFT(C29,LEN(C29)-1))&gt;=总览!$F$11),总览!$G$11,IF(AND(总览!$D$11&lt;&gt;"",B29*100+VALUE(LEFT(C29,LEN(C29)-1))&gt;=总览!$D$11),总览!$E$11,总览!$B$11)))))</f>
        <v/>
      </c>
      <c r="J29" s="32">
        <f>IF(OR(B29&gt;2027,AND(B29=2027,VALUE(LEFT(C29,LEN(C29)-1))&gt;=9)),IF(AND(总览!$L$12&lt;&gt;"",B29*100+VALUE(LEFT(C29,LEN(C29)-1))&gt;=总览!$L$12),总览!$M$12,IF(AND(总览!$J$12&lt;&gt;"",B29*100+VALUE(LEFT(C29,LEN(C29)-1))&gt;=总览!$J$12),总览!$K$12,IF(AND(总览!$H$12&lt;&gt;"",B29*100+VALUE(LEFT(C29,LEN(C29)-1))&gt;=总览!$H$12),总览!$I$12,IF(AND(总览!$F$12&lt;&gt;"",B29*100+VALUE(LEFT(C29,LEN(C29)-1))&gt;=总览!$F$12),总览!$G$12,IF(AND(总览!$D$12&lt;&gt;"",B29*100+VALUE(LEFT(C29,LEN(C29)-1))&gt;=总览!$D$12),总览!$E$12,总览!$B$12))))),0)</f>
        <v/>
      </c>
      <c r="K29" s="32">
        <f>IF(AND(B29=2026,C29="5月"),120000,IF(AND(B29=2027,C29="9月"),30000,IF(C29="10月",IF(AND(总览!$L$13&lt;&gt;"",B29*100+VALUE(LEFT(C29,LEN(C29)-1))&gt;=总览!$L$13),总览!$M$13,IF(AND(总览!$J$13&lt;&gt;"",B29*100+VALUE(LEFT(C29,LEN(C29)-1))&gt;=总览!$J$13),总览!$K$13,IF(AND(总览!$H$13&lt;&gt;"",B29*100+VALUE(LEFT(C29,LEN(C29)-1))&gt;=总览!$H$13),总览!$I$13,IF(AND(总览!$F$13&lt;&gt;"",B29*100+VALUE(LEFT(C29,LEN(C29)-1))&gt;=总览!$F$13),总览!$G$13,IF(AND(总览!$D$13&lt;&gt;"",B29*100+VALUE(LEFT(C29,LEN(C29)-1))&gt;=总览!$D$13),总览!$E$13,总览!$B$13))))),0)))</f>
        <v/>
      </c>
      <c r="L29" s="31" t="inlineStr"/>
      <c r="M29" s="32">
        <f>IF(B29*100+VALUE(LEFT(C29,LEN(C29)-1))=总览!$B$18,总览!$B$23,0)</f>
        <v/>
      </c>
      <c r="N29" s="32">
        <f>IF(B29*100+VALUE(LEFT(C29,LEN(C29)-1))&gt;总览!$B$18,总览!$B$25,0)</f>
        <v/>
      </c>
      <c r="O29" s="32">
        <f>SUM(H29:J29)+K29+M29+N29</f>
        <v/>
      </c>
      <c r="P29" s="32">
        <f>G29-O29</f>
        <v/>
      </c>
      <c r="Q29" s="32">
        <f>Q28+P29</f>
        <v/>
      </c>
      <c r="R29" s="32">
        <f>IF(B29*100+VALUE(LEFT(C29,LEN(C29)-1))&lt;总览!$B$18,0,IF(B29*100+VALUE(LEFT(C29,LEN(C29)-1))=总览!$B$18,总览!$B$24,R28-(总览!$B$25-R28*总览!$B$22/12)))</f>
        <v/>
      </c>
    </row>
    <row r="30">
      <c r="A30" s="30" t="n">
        <v>29</v>
      </c>
      <c r="B30" s="30" t="n">
        <v>2028</v>
      </c>
      <c r="C30" s="30" t="inlineStr">
        <is>
          <t>6月</t>
        </is>
      </c>
      <c r="D30" s="11">
        <f>IF(AND(总览!$L$6&lt;&gt;"",B30*100+VALUE(LEFT(C30,LEN(C30)-1))&gt;=总览!$L$6),总览!$M$6,IF(AND(总览!$J$6&lt;&gt;"",B30*100+VALUE(LEFT(C30,LEN(C30)-1))&gt;=总览!$J$6),总览!$K$6,IF(AND(总览!$H$6&lt;&gt;"",B30*100+VALUE(LEFT(C30,LEN(C30)-1))&gt;=总览!$H$6),总览!$I$6,IF(AND(总览!$F$6&lt;&gt;"",B30*100+VALUE(LEFT(C30,LEN(C30)-1))&gt;=总览!$F$6),总览!$G$6,IF(AND(总览!$D$6&lt;&gt;"",B30*100+VALUE(LEFT(C30,LEN(C30)-1))&gt;=总览!$D$6),总览!$E$6,总览!$B$6)))))</f>
        <v/>
      </c>
      <c r="E30" s="11">
        <f>IF(C30="12月",IF(AND(总览!$L$7&lt;&gt;"",B30*100+VALUE(LEFT(C30,LEN(C30)-1))&gt;=总览!$L$7),总览!$M$7,IF(AND(总览!$J$7&lt;&gt;"",B30*100+VALUE(LEFT(C30,LEN(C30)-1))&gt;=总览!$J$7),总览!$K$7,IF(AND(总览!$H$7&lt;&gt;"",B30*100+VALUE(LEFT(C30,LEN(C30)-1))&gt;=总览!$H$7),总览!$I$7,IF(AND(总览!$F$7&lt;&gt;"",B30*100+VALUE(LEFT(C30,LEN(C30)-1))&gt;=总览!$F$7),总览!$G$7,IF(AND(总览!$D$7&lt;&gt;"",B30*100+VALUE(LEFT(C30,LEN(C30)-1))&gt;=总览!$D$7),总览!$E$7,总览!$B$7))))),0)</f>
        <v/>
      </c>
      <c r="F30" s="11">
        <f>ROUND(Q29*总览!$B$14/12,0)</f>
        <v/>
      </c>
      <c r="G30" s="11">
        <f>D30+E30+F30</f>
        <v/>
      </c>
      <c r="H30" s="11">
        <f>IF(OR(B30&gt;2027,AND(B30=2027,VALUE(LEFT(C30,LEN(C30)-1))&gt;=9)),IF(AND(总览!$L$10&lt;&gt;"",B30*100+VALUE(LEFT(C30,LEN(C30)-1))&gt;=总览!$L$10),总览!$M$10,IF(AND(总览!$J$10&lt;&gt;"",B30*100+VALUE(LEFT(C30,LEN(C30)-1))&gt;=总览!$J$10),总览!$K$10,IF(AND(总览!$H$10&lt;&gt;"",B30*100+VALUE(LEFT(C30,LEN(C30)-1))&gt;=总览!$H$10),总览!$I$10,IF(AND(总览!$F$10&lt;&gt;"",B30*100+VALUE(LEFT(C30,LEN(C30)-1))&gt;=总览!$F$10),总览!$G$10,IF(AND(总览!$D$10&lt;&gt;"",B30*100+VALUE(LEFT(C30,LEN(C30)-1))&gt;=总览!$D$10),总览!$E$10,总览!$B$10))))),IF(AND(总览!$L$9&lt;&gt;"",B30*100+VALUE(LEFT(C30,LEN(C30)-1))&gt;=总览!$L$9),总览!$M$9,IF(AND(总览!$J$9&lt;&gt;"",B30*100+VALUE(LEFT(C30,LEN(C30)-1))&gt;=总览!$J$9),总览!$K$9,IF(AND(总览!$H$9&lt;&gt;"",B30*100+VALUE(LEFT(C30,LEN(C30)-1))&gt;=总览!$H$9),总览!$I$9,IF(AND(总览!$F$9&lt;&gt;"",B30*100+VALUE(LEFT(C30,LEN(C30)-1))&gt;=总览!$F$9),总览!$G$9,IF(AND(总览!$D$9&lt;&gt;"",B30*100+VALUE(LEFT(C30,LEN(C30)-1))&gt;=总览!$D$9),总览!$E$9,总览!$B$9))))))</f>
        <v/>
      </c>
      <c r="I30" s="11">
        <f>IF(AND(总览!$L$11&lt;&gt;"",B30*100+VALUE(LEFT(C30,LEN(C30)-1))&gt;=总览!$L$11),总览!$M$11,IF(AND(总览!$J$11&lt;&gt;"",B30*100+VALUE(LEFT(C30,LEN(C30)-1))&gt;=总览!$J$11),总览!$K$11,IF(AND(总览!$H$11&lt;&gt;"",B30*100+VALUE(LEFT(C30,LEN(C30)-1))&gt;=总览!$H$11),总览!$I$11,IF(AND(总览!$F$11&lt;&gt;"",B30*100+VALUE(LEFT(C30,LEN(C30)-1))&gt;=总览!$F$11),总览!$G$11,IF(AND(总览!$D$11&lt;&gt;"",B30*100+VALUE(LEFT(C30,LEN(C30)-1))&gt;=总览!$D$11),总览!$E$11,总览!$B$11)))))</f>
        <v/>
      </c>
      <c r="J30" s="11">
        <f>IF(OR(B30&gt;2027,AND(B30=2027,VALUE(LEFT(C30,LEN(C30)-1))&gt;=9)),IF(AND(总览!$L$12&lt;&gt;"",B30*100+VALUE(LEFT(C30,LEN(C30)-1))&gt;=总览!$L$12),总览!$M$12,IF(AND(总览!$J$12&lt;&gt;"",B30*100+VALUE(LEFT(C30,LEN(C30)-1))&gt;=总览!$J$12),总览!$K$12,IF(AND(总览!$H$12&lt;&gt;"",B30*100+VALUE(LEFT(C30,LEN(C30)-1))&gt;=总览!$H$12),总览!$I$12,IF(AND(总览!$F$12&lt;&gt;"",B30*100+VALUE(LEFT(C30,LEN(C30)-1))&gt;=总览!$F$12),总览!$G$12,IF(AND(总览!$D$12&lt;&gt;"",B30*100+VALUE(LEFT(C30,LEN(C30)-1))&gt;=总览!$D$12),总览!$E$12,总览!$B$12))))),0)</f>
        <v/>
      </c>
      <c r="K30" s="11">
        <f>IF(AND(B30=2026,C30="5月"),120000,IF(AND(B30=2027,C30="9月"),30000,IF(C30="10月",IF(AND(总览!$L$13&lt;&gt;"",B30*100+VALUE(LEFT(C30,LEN(C30)-1))&gt;=总览!$L$13),总览!$M$13,IF(AND(总览!$J$13&lt;&gt;"",B30*100+VALUE(LEFT(C30,LEN(C30)-1))&gt;=总览!$J$13),总览!$K$13,IF(AND(总览!$H$13&lt;&gt;"",B30*100+VALUE(LEFT(C30,LEN(C30)-1))&gt;=总览!$H$13),总览!$I$13,IF(AND(总览!$F$13&lt;&gt;"",B30*100+VALUE(LEFT(C30,LEN(C30)-1))&gt;=总览!$F$13),总览!$G$13,IF(AND(总览!$D$13&lt;&gt;"",B30*100+VALUE(LEFT(C30,LEN(C30)-1))&gt;=总览!$D$13),总览!$E$13,总览!$B$13))))),0)))</f>
        <v/>
      </c>
      <c r="L30" s="30" t="inlineStr"/>
      <c r="M30" s="11">
        <f>IF(B30*100+VALUE(LEFT(C30,LEN(C30)-1))=总览!$B$18,总览!$B$23,0)</f>
        <v/>
      </c>
      <c r="N30" s="11">
        <f>IF(B30*100+VALUE(LEFT(C30,LEN(C30)-1))&gt;总览!$B$18,总览!$B$25,0)</f>
        <v/>
      </c>
      <c r="O30" s="11">
        <f>SUM(H30:J30)+K30+M30+N30</f>
        <v/>
      </c>
      <c r="P30" s="11">
        <f>G30-O30</f>
        <v/>
      </c>
      <c r="Q30" s="11">
        <f>Q29+P30</f>
        <v/>
      </c>
      <c r="R30" s="11">
        <f>IF(B30*100+VALUE(LEFT(C30,LEN(C30)-1))&lt;总览!$B$18,0,IF(B30*100+VALUE(LEFT(C30,LEN(C30)-1))=总览!$B$18,总览!$B$24,R29-(总览!$B$25-R29*总览!$B$22/12)))</f>
        <v/>
      </c>
    </row>
    <row r="31">
      <c r="A31" s="31" t="n">
        <v>30</v>
      </c>
      <c r="B31" s="31" t="n">
        <v>2028</v>
      </c>
      <c r="C31" s="31" t="inlineStr">
        <is>
          <t>7月</t>
        </is>
      </c>
      <c r="D31" s="32">
        <f>IF(AND(总览!$L$6&lt;&gt;"",B31*100+VALUE(LEFT(C31,LEN(C31)-1))&gt;=总览!$L$6),总览!$M$6,IF(AND(总览!$J$6&lt;&gt;"",B31*100+VALUE(LEFT(C31,LEN(C31)-1))&gt;=总览!$J$6),总览!$K$6,IF(AND(总览!$H$6&lt;&gt;"",B31*100+VALUE(LEFT(C31,LEN(C31)-1))&gt;=总览!$H$6),总览!$I$6,IF(AND(总览!$F$6&lt;&gt;"",B31*100+VALUE(LEFT(C31,LEN(C31)-1))&gt;=总览!$F$6),总览!$G$6,IF(AND(总览!$D$6&lt;&gt;"",B31*100+VALUE(LEFT(C31,LEN(C31)-1))&gt;=总览!$D$6),总览!$E$6,总览!$B$6)))))</f>
        <v/>
      </c>
      <c r="E31" s="32">
        <f>IF(C31="12月",IF(AND(总览!$L$7&lt;&gt;"",B31*100+VALUE(LEFT(C31,LEN(C31)-1))&gt;=总览!$L$7),总览!$M$7,IF(AND(总览!$J$7&lt;&gt;"",B31*100+VALUE(LEFT(C31,LEN(C31)-1))&gt;=总览!$J$7),总览!$K$7,IF(AND(总览!$H$7&lt;&gt;"",B31*100+VALUE(LEFT(C31,LEN(C31)-1))&gt;=总览!$H$7),总览!$I$7,IF(AND(总览!$F$7&lt;&gt;"",B31*100+VALUE(LEFT(C31,LEN(C31)-1))&gt;=总览!$F$7),总览!$G$7,IF(AND(总览!$D$7&lt;&gt;"",B31*100+VALUE(LEFT(C31,LEN(C31)-1))&gt;=总览!$D$7),总览!$E$7,总览!$B$7))))),0)</f>
        <v/>
      </c>
      <c r="F31" s="32">
        <f>ROUND(Q30*总览!$B$14/12,0)</f>
        <v/>
      </c>
      <c r="G31" s="32">
        <f>D31+E31+F31</f>
        <v/>
      </c>
      <c r="H31" s="32">
        <f>IF(OR(B31&gt;2027,AND(B31=2027,VALUE(LEFT(C31,LEN(C31)-1))&gt;=9)),IF(AND(总览!$L$10&lt;&gt;"",B31*100+VALUE(LEFT(C31,LEN(C31)-1))&gt;=总览!$L$10),总览!$M$10,IF(AND(总览!$J$10&lt;&gt;"",B31*100+VALUE(LEFT(C31,LEN(C31)-1))&gt;=总览!$J$10),总览!$K$10,IF(AND(总览!$H$10&lt;&gt;"",B31*100+VALUE(LEFT(C31,LEN(C31)-1))&gt;=总览!$H$10),总览!$I$10,IF(AND(总览!$F$10&lt;&gt;"",B31*100+VALUE(LEFT(C31,LEN(C31)-1))&gt;=总览!$F$10),总览!$G$10,IF(AND(总览!$D$10&lt;&gt;"",B31*100+VALUE(LEFT(C31,LEN(C31)-1))&gt;=总览!$D$10),总览!$E$10,总览!$B$10))))),IF(AND(总览!$L$9&lt;&gt;"",B31*100+VALUE(LEFT(C31,LEN(C31)-1))&gt;=总览!$L$9),总览!$M$9,IF(AND(总览!$J$9&lt;&gt;"",B31*100+VALUE(LEFT(C31,LEN(C31)-1))&gt;=总览!$J$9),总览!$K$9,IF(AND(总览!$H$9&lt;&gt;"",B31*100+VALUE(LEFT(C31,LEN(C31)-1))&gt;=总览!$H$9),总览!$I$9,IF(AND(总览!$F$9&lt;&gt;"",B31*100+VALUE(LEFT(C31,LEN(C31)-1))&gt;=总览!$F$9),总览!$G$9,IF(AND(总览!$D$9&lt;&gt;"",B31*100+VALUE(LEFT(C31,LEN(C31)-1))&gt;=总览!$D$9),总览!$E$9,总览!$B$9))))))</f>
        <v/>
      </c>
      <c r="I31" s="32">
        <f>IF(AND(总览!$L$11&lt;&gt;"",B31*100+VALUE(LEFT(C31,LEN(C31)-1))&gt;=总览!$L$11),总览!$M$11,IF(AND(总览!$J$11&lt;&gt;"",B31*100+VALUE(LEFT(C31,LEN(C31)-1))&gt;=总览!$J$11),总览!$K$11,IF(AND(总览!$H$11&lt;&gt;"",B31*100+VALUE(LEFT(C31,LEN(C31)-1))&gt;=总览!$H$11),总览!$I$11,IF(AND(总览!$F$11&lt;&gt;"",B31*100+VALUE(LEFT(C31,LEN(C31)-1))&gt;=总览!$F$11),总览!$G$11,IF(AND(总览!$D$11&lt;&gt;"",B31*100+VALUE(LEFT(C31,LEN(C31)-1))&gt;=总览!$D$11),总览!$E$11,总览!$B$11)))))</f>
        <v/>
      </c>
      <c r="J31" s="32">
        <f>IF(OR(B31&gt;2027,AND(B31=2027,VALUE(LEFT(C31,LEN(C31)-1))&gt;=9)),IF(AND(总览!$L$12&lt;&gt;"",B31*100+VALUE(LEFT(C31,LEN(C31)-1))&gt;=总览!$L$12),总览!$M$12,IF(AND(总览!$J$12&lt;&gt;"",B31*100+VALUE(LEFT(C31,LEN(C31)-1))&gt;=总览!$J$12),总览!$K$12,IF(AND(总览!$H$12&lt;&gt;"",B31*100+VALUE(LEFT(C31,LEN(C31)-1))&gt;=总览!$H$12),总览!$I$12,IF(AND(总览!$F$12&lt;&gt;"",B31*100+VALUE(LEFT(C31,LEN(C31)-1))&gt;=总览!$F$12),总览!$G$12,IF(AND(总览!$D$12&lt;&gt;"",B31*100+VALUE(LEFT(C31,LEN(C31)-1))&gt;=总览!$D$12),总览!$E$12,总览!$B$12))))),0)</f>
        <v/>
      </c>
      <c r="K31" s="32">
        <f>IF(AND(B31=2026,C31="5月"),120000,IF(AND(B31=2027,C31="9月"),30000,IF(C31="10月",IF(AND(总览!$L$13&lt;&gt;"",B31*100+VALUE(LEFT(C31,LEN(C31)-1))&gt;=总览!$L$13),总览!$M$13,IF(AND(总览!$J$13&lt;&gt;"",B31*100+VALUE(LEFT(C31,LEN(C31)-1))&gt;=总览!$J$13),总览!$K$13,IF(AND(总览!$H$13&lt;&gt;"",B31*100+VALUE(LEFT(C31,LEN(C31)-1))&gt;=总览!$H$13),总览!$I$13,IF(AND(总览!$F$13&lt;&gt;"",B31*100+VALUE(LEFT(C31,LEN(C31)-1))&gt;=总览!$F$13),总览!$G$13,IF(AND(总览!$D$13&lt;&gt;"",B31*100+VALUE(LEFT(C31,LEN(C31)-1))&gt;=总览!$D$13),总览!$E$13,总览!$B$13))))),0)))</f>
        <v/>
      </c>
      <c r="L31" s="31" t="inlineStr"/>
      <c r="M31" s="32">
        <f>IF(B31*100+VALUE(LEFT(C31,LEN(C31)-1))=总览!$B$18,总览!$B$23,0)</f>
        <v/>
      </c>
      <c r="N31" s="32">
        <f>IF(B31*100+VALUE(LEFT(C31,LEN(C31)-1))&gt;总览!$B$18,总览!$B$25,0)</f>
        <v/>
      </c>
      <c r="O31" s="32">
        <f>SUM(H31:J31)+K31+M31+N31</f>
        <v/>
      </c>
      <c r="P31" s="32">
        <f>G31-O31</f>
        <v/>
      </c>
      <c r="Q31" s="32">
        <f>Q30+P31</f>
        <v/>
      </c>
      <c r="R31" s="32">
        <f>IF(B31*100+VALUE(LEFT(C31,LEN(C31)-1))&lt;总览!$B$18,0,IF(B31*100+VALUE(LEFT(C31,LEN(C31)-1))=总览!$B$18,总览!$B$24,R30-(总览!$B$25-R30*总览!$B$22/12)))</f>
        <v/>
      </c>
    </row>
    <row r="32">
      <c r="A32" s="30" t="n">
        <v>31</v>
      </c>
      <c r="B32" s="30" t="n">
        <v>2028</v>
      </c>
      <c r="C32" s="30" t="inlineStr">
        <is>
          <t>8月</t>
        </is>
      </c>
      <c r="D32" s="11">
        <f>IF(AND(总览!$L$6&lt;&gt;"",B32*100+VALUE(LEFT(C32,LEN(C32)-1))&gt;=总览!$L$6),总览!$M$6,IF(AND(总览!$J$6&lt;&gt;"",B32*100+VALUE(LEFT(C32,LEN(C32)-1))&gt;=总览!$J$6),总览!$K$6,IF(AND(总览!$H$6&lt;&gt;"",B32*100+VALUE(LEFT(C32,LEN(C32)-1))&gt;=总览!$H$6),总览!$I$6,IF(AND(总览!$F$6&lt;&gt;"",B32*100+VALUE(LEFT(C32,LEN(C32)-1))&gt;=总览!$F$6),总览!$G$6,IF(AND(总览!$D$6&lt;&gt;"",B32*100+VALUE(LEFT(C32,LEN(C32)-1))&gt;=总览!$D$6),总览!$E$6,总览!$B$6)))))</f>
        <v/>
      </c>
      <c r="E32" s="11">
        <f>IF(C32="12月",IF(AND(总览!$L$7&lt;&gt;"",B32*100+VALUE(LEFT(C32,LEN(C32)-1))&gt;=总览!$L$7),总览!$M$7,IF(AND(总览!$J$7&lt;&gt;"",B32*100+VALUE(LEFT(C32,LEN(C32)-1))&gt;=总览!$J$7),总览!$K$7,IF(AND(总览!$H$7&lt;&gt;"",B32*100+VALUE(LEFT(C32,LEN(C32)-1))&gt;=总览!$H$7),总览!$I$7,IF(AND(总览!$F$7&lt;&gt;"",B32*100+VALUE(LEFT(C32,LEN(C32)-1))&gt;=总览!$F$7),总览!$G$7,IF(AND(总览!$D$7&lt;&gt;"",B32*100+VALUE(LEFT(C32,LEN(C32)-1))&gt;=总览!$D$7),总览!$E$7,总览!$B$7))))),0)</f>
        <v/>
      </c>
      <c r="F32" s="11">
        <f>ROUND(Q31*总览!$B$14/12,0)</f>
        <v/>
      </c>
      <c r="G32" s="11">
        <f>D32+E32+F32</f>
        <v/>
      </c>
      <c r="H32" s="11">
        <f>IF(OR(B32&gt;2027,AND(B32=2027,VALUE(LEFT(C32,LEN(C32)-1))&gt;=9)),IF(AND(总览!$L$10&lt;&gt;"",B32*100+VALUE(LEFT(C32,LEN(C32)-1))&gt;=总览!$L$10),总览!$M$10,IF(AND(总览!$J$10&lt;&gt;"",B32*100+VALUE(LEFT(C32,LEN(C32)-1))&gt;=总览!$J$10),总览!$K$10,IF(AND(总览!$H$10&lt;&gt;"",B32*100+VALUE(LEFT(C32,LEN(C32)-1))&gt;=总览!$H$10),总览!$I$10,IF(AND(总览!$F$10&lt;&gt;"",B32*100+VALUE(LEFT(C32,LEN(C32)-1))&gt;=总览!$F$10),总览!$G$10,IF(AND(总览!$D$10&lt;&gt;"",B32*100+VALUE(LEFT(C32,LEN(C32)-1))&gt;=总览!$D$10),总览!$E$10,总览!$B$10))))),IF(AND(总览!$L$9&lt;&gt;"",B32*100+VALUE(LEFT(C32,LEN(C32)-1))&gt;=总览!$L$9),总览!$M$9,IF(AND(总览!$J$9&lt;&gt;"",B32*100+VALUE(LEFT(C32,LEN(C32)-1))&gt;=总览!$J$9),总览!$K$9,IF(AND(总览!$H$9&lt;&gt;"",B32*100+VALUE(LEFT(C32,LEN(C32)-1))&gt;=总览!$H$9),总览!$I$9,IF(AND(总览!$F$9&lt;&gt;"",B32*100+VALUE(LEFT(C32,LEN(C32)-1))&gt;=总览!$F$9),总览!$G$9,IF(AND(总览!$D$9&lt;&gt;"",B32*100+VALUE(LEFT(C32,LEN(C32)-1))&gt;=总览!$D$9),总览!$E$9,总览!$B$9))))))</f>
        <v/>
      </c>
      <c r="I32" s="11">
        <f>IF(AND(总览!$L$11&lt;&gt;"",B32*100+VALUE(LEFT(C32,LEN(C32)-1))&gt;=总览!$L$11),总览!$M$11,IF(AND(总览!$J$11&lt;&gt;"",B32*100+VALUE(LEFT(C32,LEN(C32)-1))&gt;=总览!$J$11),总览!$K$11,IF(AND(总览!$H$11&lt;&gt;"",B32*100+VALUE(LEFT(C32,LEN(C32)-1))&gt;=总览!$H$11),总览!$I$11,IF(AND(总览!$F$11&lt;&gt;"",B32*100+VALUE(LEFT(C32,LEN(C32)-1))&gt;=总览!$F$11),总览!$G$11,IF(AND(总览!$D$11&lt;&gt;"",B32*100+VALUE(LEFT(C32,LEN(C32)-1))&gt;=总览!$D$11),总览!$E$11,总览!$B$11)))))</f>
        <v/>
      </c>
      <c r="J32" s="11">
        <f>IF(OR(B32&gt;2027,AND(B32=2027,VALUE(LEFT(C32,LEN(C32)-1))&gt;=9)),IF(AND(总览!$L$12&lt;&gt;"",B32*100+VALUE(LEFT(C32,LEN(C32)-1))&gt;=总览!$L$12),总览!$M$12,IF(AND(总览!$J$12&lt;&gt;"",B32*100+VALUE(LEFT(C32,LEN(C32)-1))&gt;=总览!$J$12),总览!$K$12,IF(AND(总览!$H$12&lt;&gt;"",B32*100+VALUE(LEFT(C32,LEN(C32)-1))&gt;=总览!$H$12),总览!$I$12,IF(AND(总览!$F$12&lt;&gt;"",B32*100+VALUE(LEFT(C32,LEN(C32)-1))&gt;=总览!$F$12),总览!$G$12,IF(AND(总览!$D$12&lt;&gt;"",B32*100+VALUE(LEFT(C32,LEN(C32)-1))&gt;=总览!$D$12),总览!$E$12,总览!$B$12))))),0)</f>
        <v/>
      </c>
      <c r="K32" s="11">
        <f>IF(AND(B32=2026,C32="5月"),120000,IF(AND(B32=2027,C32="9月"),30000,IF(C32="10月",IF(AND(总览!$L$13&lt;&gt;"",B32*100+VALUE(LEFT(C32,LEN(C32)-1))&gt;=总览!$L$13),总览!$M$13,IF(AND(总览!$J$13&lt;&gt;"",B32*100+VALUE(LEFT(C32,LEN(C32)-1))&gt;=总览!$J$13),总览!$K$13,IF(AND(总览!$H$13&lt;&gt;"",B32*100+VALUE(LEFT(C32,LEN(C32)-1))&gt;=总览!$H$13),总览!$I$13,IF(AND(总览!$F$13&lt;&gt;"",B32*100+VALUE(LEFT(C32,LEN(C32)-1))&gt;=总览!$F$13),总览!$G$13,IF(AND(总览!$D$13&lt;&gt;"",B32*100+VALUE(LEFT(C32,LEN(C32)-1))&gt;=总览!$D$13),总览!$E$13,总览!$B$13))))),0)))</f>
        <v/>
      </c>
      <c r="L32" s="30" t="inlineStr"/>
      <c r="M32" s="11">
        <f>IF(B32*100+VALUE(LEFT(C32,LEN(C32)-1))=总览!$B$18,总览!$B$23,0)</f>
        <v/>
      </c>
      <c r="N32" s="11">
        <f>IF(B32*100+VALUE(LEFT(C32,LEN(C32)-1))&gt;总览!$B$18,总览!$B$25,0)</f>
        <v/>
      </c>
      <c r="O32" s="11">
        <f>SUM(H32:J32)+K32+M32+N32</f>
        <v/>
      </c>
      <c r="P32" s="11">
        <f>G32-O32</f>
        <v/>
      </c>
      <c r="Q32" s="11">
        <f>Q31+P32</f>
        <v/>
      </c>
      <c r="R32" s="11">
        <f>IF(B32*100+VALUE(LEFT(C32,LEN(C32)-1))&lt;总览!$B$18,0,IF(B32*100+VALUE(LEFT(C32,LEN(C32)-1))=总览!$B$18,总览!$B$24,R31-(总览!$B$25-R31*总览!$B$22/12)))</f>
        <v/>
      </c>
    </row>
    <row r="33">
      <c r="A33" s="31" t="n">
        <v>32</v>
      </c>
      <c r="B33" s="31" t="n">
        <v>2028</v>
      </c>
      <c r="C33" s="31" t="inlineStr">
        <is>
          <t>9月</t>
        </is>
      </c>
      <c r="D33" s="32">
        <f>IF(AND(总览!$L$6&lt;&gt;"",B33*100+VALUE(LEFT(C33,LEN(C33)-1))&gt;=总览!$L$6),总览!$M$6,IF(AND(总览!$J$6&lt;&gt;"",B33*100+VALUE(LEFT(C33,LEN(C33)-1))&gt;=总览!$J$6),总览!$K$6,IF(AND(总览!$H$6&lt;&gt;"",B33*100+VALUE(LEFT(C33,LEN(C33)-1))&gt;=总览!$H$6),总览!$I$6,IF(AND(总览!$F$6&lt;&gt;"",B33*100+VALUE(LEFT(C33,LEN(C33)-1))&gt;=总览!$F$6),总览!$G$6,IF(AND(总览!$D$6&lt;&gt;"",B33*100+VALUE(LEFT(C33,LEN(C33)-1))&gt;=总览!$D$6),总览!$E$6,总览!$B$6)))))</f>
        <v/>
      </c>
      <c r="E33" s="32">
        <f>IF(C33="12月",IF(AND(总览!$L$7&lt;&gt;"",B33*100+VALUE(LEFT(C33,LEN(C33)-1))&gt;=总览!$L$7),总览!$M$7,IF(AND(总览!$J$7&lt;&gt;"",B33*100+VALUE(LEFT(C33,LEN(C33)-1))&gt;=总览!$J$7),总览!$K$7,IF(AND(总览!$H$7&lt;&gt;"",B33*100+VALUE(LEFT(C33,LEN(C33)-1))&gt;=总览!$H$7),总览!$I$7,IF(AND(总览!$F$7&lt;&gt;"",B33*100+VALUE(LEFT(C33,LEN(C33)-1))&gt;=总览!$F$7),总览!$G$7,IF(AND(总览!$D$7&lt;&gt;"",B33*100+VALUE(LEFT(C33,LEN(C33)-1))&gt;=总览!$D$7),总览!$E$7,总览!$B$7))))),0)</f>
        <v/>
      </c>
      <c r="F33" s="32">
        <f>ROUND(Q32*总览!$B$14/12,0)</f>
        <v/>
      </c>
      <c r="G33" s="32">
        <f>D33+E33+F33</f>
        <v/>
      </c>
      <c r="H33" s="32">
        <f>IF(OR(B33&gt;2027,AND(B33=2027,VALUE(LEFT(C33,LEN(C33)-1))&gt;=9)),IF(AND(总览!$L$10&lt;&gt;"",B33*100+VALUE(LEFT(C33,LEN(C33)-1))&gt;=总览!$L$10),总览!$M$10,IF(AND(总览!$J$10&lt;&gt;"",B33*100+VALUE(LEFT(C33,LEN(C33)-1))&gt;=总览!$J$10),总览!$K$10,IF(AND(总览!$H$10&lt;&gt;"",B33*100+VALUE(LEFT(C33,LEN(C33)-1))&gt;=总览!$H$10),总览!$I$10,IF(AND(总览!$F$10&lt;&gt;"",B33*100+VALUE(LEFT(C33,LEN(C33)-1))&gt;=总览!$F$10),总览!$G$10,IF(AND(总览!$D$10&lt;&gt;"",B33*100+VALUE(LEFT(C33,LEN(C33)-1))&gt;=总览!$D$10),总览!$E$10,总览!$B$10))))),IF(AND(总览!$L$9&lt;&gt;"",B33*100+VALUE(LEFT(C33,LEN(C33)-1))&gt;=总览!$L$9),总览!$M$9,IF(AND(总览!$J$9&lt;&gt;"",B33*100+VALUE(LEFT(C33,LEN(C33)-1))&gt;=总览!$J$9),总览!$K$9,IF(AND(总览!$H$9&lt;&gt;"",B33*100+VALUE(LEFT(C33,LEN(C33)-1))&gt;=总览!$H$9),总览!$I$9,IF(AND(总览!$F$9&lt;&gt;"",B33*100+VALUE(LEFT(C33,LEN(C33)-1))&gt;=总览!$F$9),总览!$G$9,IF(AND(总览!$D$9&lt;&gt;"",B33*100+VALUE(LEFT(C33,LEN(C33)-1))&gt;=总览!$D$9),总览!$E$9,总览!$B$9))))))</f>
        <v/>
      </c>
      <c r="I33" s="32">
        <f>IF(AND(总览!$L$11&lt;&gt;"",B33*100+VALUE(LEFT(C33,LEN(C33)-1))&gt;=总览!$L$11),总览!$M$11,IF(AND(总览!$J$11&lt;&gt;"",B33*100+VALUE(LEFT(C33,LEN(C33)-1))&gt;=总览!$J$11),总览!$K$11,IF(AND(总览!$H$11&lt;&gt;"",B33*100+VALUE(LEFT(C33,LEN(C33)-1))&gt;=总览!$H$11),总览!$I$11,IF(AND(总览!$F$11&lt;&gt;"",B33*100+VALUE(LEFT(C33,LEN(C33)-1))&gt;=总览!$F$11),总览!$G$11,IF(AND(总览!$D$11&lt;&gt;"",B33*100+VALUE(LEFT(C33,LEN(C33)-1))&gt;=总览!$D$11),总览!$E$11,总览!$B$11)))))</f>
        <v/>
      </c>
      <c r="J33" s="32">
        <f>IF(OR(B33&gt;2027,AND(B33=2027,VALUE(LEFT(C33,LEN(C33)-1))&gt;=9)),IF(AND(总览!$L$12&lt;&gt;"",B33*100+VALUE(LEFT(C33,LEN(C33)-1))&gt;=总览!$L$12),总览!$M$12,IF(AND(总览!$J$12&lt;&gt;"",B33*100+VALUE(LEFT(C33,LEN(C33)-1))&gt;=总览!$J$12),总览!$K$12,IF(AND(总览!$H$12&lt;&gt;"",B33*100+VALUE(LEFT(C33,LEN(C33)-1))&gt;=总览!$H$12),总览!$I$12,IF(AND(总览!$F$12&lt;&gt;"",B33*100+VALUE(LEFT(C33,LEN(C33)-1))&gt;=总览!$F$12),总览!$G$12,IF(AND(总览!$D$12&lt;&gt;"",B33*100+VALUE(LEFT(C33,LEN(C33)-1))&gt;=总览!$D$12),总览!$E$12,总览!$B$12))))),0)</f>
        <v/>
      </c>
      <c r="K33" s="32">
        <f>IF(AND(B33=2026,C33="5月"),120000,IF(AND(B33=2027,C33="9月"),30000,IF(C33="10月",IF(AND(总览!$L$13&lt;&gt;"",B33*100+VALUE(LEFT(C33,LEN(C33)-1))&gt;=总览!$L$13),总览!$M$13,IF(AND(总览!$J$13&lt;&gt;"",B33*100+VALUE(LEFT(C33,LEN(C33)-1))&gt;=总览!$J$13),总览!$K$13,IF(AND(总览!$H$13&lt;&gt;"",B33*100+VALUE(LEFT(C33,LEN(C33)-1))&gt;=总览!$H$13),总览!$I$13,IF(AND(总览!$F$13&lt;&gt;"",B33*100+VALUE(LEFT(C33,LEN(C33)-1))&gt;=总览!$F$13),总览!$G$13,IF(AND(总览!$D$13&lt;&gt;"",B33*100+VALUE(LEFT(C33,LEN(C33)-1))&gt;=总览!$D$13),总览!$E$13,总览!$B$13))))),0)))</f>
        <v/>
      </c>
      <c r="L33" s="31" t="inlineStr"/>
      <c r="M33" s="32">
        <f>IF(B33*100+VALUE(LEFT(C33,LEN(C33)-1))=总览!$B$18,总览!$B$23,0)</f>
        <v/>
      </c>
      <c r="N33" s="32">
        <f>IF(B33*100+VALUE(LEFT(C33,LEN(C33)-1))&gt;总览!$B$18,总览!$B$25,0)</f>
        <v/>
      </c>
      <c r="O33" s="32">
        <f>SUM(H33:J33)+K33+M33+N33</f>
        <v/>
      </c>
      <c r="P33" s="32">
        <f>G33-O33</f>
        <v/>
      </c>
      <c r="Q33" s="32">
        <f>Q32+P33</f>
        <v/>
      </c>
      <c r="R33" s="32">
        <f>IF(B33*100+VALUE(LEFT(C33,LEN(C33)-1))&lt;总览!$B$18,0,IF(B33*100+VALUE(LEFT(C33,LEN(C33)-1))=总览!$B$18,总览!$B$24,R32-(总览!$B$25-R32*总览!$B$22/12)))</f>
        <v/>
      </c>
    </row>
    <row r="34">
      <c r="A34" s="33" t="n">
        <v>33</v>
      </c>
      <c r="B34" s="33" t="n">
        <v>2028</v>
      </c>
      <c r="C34" s="33" t="inlineStr">
        <is>
          <t>10月</t>
        </is>
      </c>
      <c r="D34" s="34">
        <f>IF(AND(总览!$L$6&lt;&gt;"",B34*100+VALUE(LEFT(C34,LEN(C34)-1))&gt;=总览!$L$6),总览!$M$6,IF(AND(总览!$J$6&lt;&gt;"",B34*100+VALUE(LEFT(C34,LEN(C34)-1))&gt;=总览!$J$6),总览!$K$6,IF(AND(总览!$H$6&lt;&gt;"",B34*100+VALUE(LEFT(C34,LEN(C34)-1))&gt;=总览!$H$6),总览!$I$6,IF(AND(总览!$F$6&lt;&gt;"",B34*100+VALUE(LEFT(C34,LEN(C34)-1))&gt;=总览!$F$6),总览!$G$6,IF(AND(总览!$D$6&lt;&gt;"",B34*100+VALUE(LEFT(C34,LEN(C34)-1))&gt;=总览!$D$6),总览!$E$6,总览!$B$6)))))</f>
        <v/>
      </c>
      <c r="E34" s="34">
        <f>IF(C34="12月",IF(AND(总览!$L$7&lt;&gt;"",B34*100+VALUE(LEFT(C34,LEN(C34)-1))&gt;=总览!$L$7),总览!$M$7,IF(AND(总览!$J$7&lt;&gt;"",B34*100+VALUE(LEFT(C34,LEN(C34)-1))&gt;=总览!$J$7),总览!$K$7,IF(AND(总览!$H$7&lt;&gt;"",B34*100+VALUE(LEFT(C34,LEN(C34)-1))&gt;=总览!$H$7),总览!$I$7,IF(AND(总览!$F$7&lt;&gt;"",B34*100+VALUE(LEFT(C34,LEN(C34)-1))&gt;=总览!$F$7),总览!$G$7,IF(AND(总览!$D$7&lt;&gt;"",B34*100+VALUE(LEFT(C34,LEN(C34)-1))&gt;=总览!$D$7),总览!$E$7,总览!$B$7))))),0)</f>
        <v/>
      </c>
      <c r="F34" s="34">
        <f>ROUND(Q33*总览!$B$14/12,0)</f>
        <v/>
      </c>
      <c r="G34" s="34">
        <f>D34+E34+F34</f>
        <v/>
      </c>
      <c r="H34" s="34">
        <f>IF(OR(B34&gt;2027,AND(B34=2027,VALUE(LEFT(C34,LEN(C34)-1))&gt;=9)),IF(AND(总览!$L$10&lt;&gt;"",B34*100+VALUE(LEFT(C34,LEN(C34)-1))&gt;=总览!$L$10),总览!$M$10,IF(AND(总览!$J$10&lt;&gt;"",B34*100+VALUE(LEFT(C34,LEN(C34)-1))&gt;=总览!$J$10),总览!$K$10,IF(AND(总览!$H$10&lt;&gt;"",B34*100+VALUE(LEFT(C34,LEN(C34)-1))&gt;=总览!$H$10),总览!$I$10,IF(AND(总览!$F$10&lt;&gt;"",B34*100+VALUE(LEFT(C34,LEN(C34)-1))&gt;=总览!$F$10),总览!$G$10,IF(AND(总览!$D$10&lt;&gt;"",B34*100+VALUE(LEFT(C34,LEN(C34)-1))&gt;=总览!$D$10),总览!$E$10,总览!$B$10))))),IF(AND(总览!$L$9&lt;&gt;"",B34*100+VALUE(LEFT(C34,LEN(C34)-1))&gt;=总览!$L$9),总览!$M$9,IF(AND(总览!$J$9&lt;&gt;"",B34*100+VALUE(LEFT(C34,LEN(C34)-1))&gt;=总览!$J$9),总览!$K$9,IF(AND(总览!$H$9&lt;&gt;"",B34*100+VALUE(LEFT(C34,LEN(C34)-1))&gt;=总览!$H$9),总览!$I$9,IF(AND(总览!$F$9&lt;&gt;"",B34*100+VALUE(LEFT(C34,LEN(C34)-1))&gt;=总览!$F$9),总览!$G$9,IF(AND(总览!$D$9&lt;&gt;"",B34*100+VALUE(LEFT(C34,LEN(C34)-1))&gt;=总览!$D$9),总览!$E$9,总览!$B$9))))))</f>
        <v/>
      </c>
      <c r="I34" s="34">
        <f>IF(AND(总览!$L$11&lt;&gt;"",B34*100+VALUE(LEFT(C34,LEN(C34)-1))&gt;=总览!$L$11),总览!$M$11,IF(AND(总览!$J$11&lt;&gt;"",B34*100+VALUE(LEFT(C34,LEN(C34)-1))&gt;=总览!$J$11),总览!$K$11,IF(AND(总览!$H$11&lt;&gt;"",B34*100+VALUE(LEFT(C34,LEN(C34)-1))&gt;=总览!$H$11),总览!$I$11,IF(AND(总览!$F$11&lt;&gt;"",B34*100+VALUE(LEFT(C34,LEN(C34)-1))&gt;=总览!$F$11),总览!$G$11,IF(AND(总览!$D$11&lt;&gt;"",B34*100+VALUE(LEFT(C34,LEN(C34)-1))&gt;=总览!$D$11),总览!$E$11,总览!$B$11)))))</f>
        <v/>
      </c>
      <c r="J34" s="34">
        <f>IF(OR(B34&gt;2027,AND(B34=2027,VALUE(LEFT(C34,LEN(C34)-1))&gt;=9)),IF(AND(总览!$L$12&lt;&gt;"",B34*100+VALUE(LEFT(C34,LEN(C34)-1))&gt;=总览!$L$12),总览!$M$12,IF(AND(总览!$J$12&lt;&gt;"",B34*100+VALUE(LEFT(C34,LEN(C34)-1))&gt;=总览!$J$12),总览!$K$12,IF(AND(总览!$H$12&lt;&gt;"",B34*100+VALUE(LEFT(C34,LEN(C34)-1))&gt;=总览!$H$12),总览!$I$12,IF(AND(总览!$F$12&lt;&gt;"",B34*100+VALUE(LEFT(C34,LEN(C34)-1))&gt;=总览!$F$12),总览!$G$12,IF(AND(总览!$D$12&lt;&gt;"",B34*100+VALUE(LEFT(C34,LEN(C34)-1))&gt;=总览!$D$12),总览!$E$12,总览!$B$12))))),0)</f>
        <v/>
      </c>
      <c r="K34" s="34">
        <f>IF(AND(B34=2026,C34="5月"),120000,IF(AND(B34=2027,C34="9月"),30000,IF(C34="10月",IF(AND(总览!$L$13&lt;&gt;"",B34*100+VALUE(LEFT(C34,LEN(C34)-1))&gt;=总览!$L$13),总览!$M$13,IF(AND(总览!$J$13&lt;&gt;"",B34*100+VALUE(LEFT(C34,LEN(C34)-1))&gt;=总览!$J$13),总览!$K$13,IF(AND(总览!$H$13&lt;&gt;"",B34*100+VALUE(LEFT(C34,LEN(C34)-1))&gt;=总览!$H$13),总览!$I$13,IF(AND(总览!$F$13&lt;&gt;"",B34*100+VALUE(LEFT(C34,LEN(C34)-1))&gt;=总览!$F$13),总览!$G$13,IF(AND(总览!$D$13&lt;&gt;"",B34*100+VALUE(LEFT(C34,LEN(C34)-1))&gt;=总览!$D$13),总览!$E$13,总览!$B$13))))),0)))</f>
        <v/>
      </c>
      <c r="L34" s="33" t="inlineStr">
        <is>
          <t>年度旅游</t>
        </is>
      </c>
      <c r="M34" s="34">
        <f>IF(B34*100+VALUE(LEFT(C34,LEN(C34)-1))=总览!$B$18,总览!$B$23,0)</f>
        <v/>
      </c>
      <c r="N34" s="34">
        <f>IF(B34*100+VALUE(LEFT(C34,LEN(C34)-1))&gt;总览!$B$18,总览!$B$25,0)</f>
        <v/>
      </c>
      <c r="O34" s="34">
        <f>SUM(H34:J34)+K34+M34+N34</f>
        <v/>
      </c>
      <c r="P34" s="34">
        <f>G34-O34</f>
        <v/>
      </c>
      <c r="Q34" s="34">
        <f>Q33+P34</f>
        <v/>
      </c>
      <c r="R34" s="34">
        <f>IF(B34*100+VALUE(LEFT(C34,LEN(C34)-1))&lt;总览!$B$18,0,IF(B34*100+VALUE(LEFT(C34,LEN(C34)-1))=总览!$B$18,总览!$B$24,R33-(总览!$B$25-R33*总览!$B$22/12)))</f>
        <v/>
      </c>
    </row>
    <row r="35">
      <c r="A35" s="31" t="n">
        <v>34</v>
      </c>
      <c r="B35" s="31" t="n">
        <v>2028</v>
      </c>
      <c r="C35" s="31" t="inlineStr">
        <is>
          <t>11月</t>
        </is>
      </c>
      <c r="D35" s="32">
        <f>IF(AND(总览!$L$6&lt;&gt;"",B35*100+VALUE(LEFT(C35,LEN(C35)-1))&gt;=总览!$L$6),总览!$M$6,IF(AND(总览!$J$6&lt;&gt;"",B35*100+VALUE(LEFT(C35,LEN(C35)-1))&gt;=总览!$J$6),总览!$K$6,IF(AND(总览!$H$6&lt;&gt;"",B35*100+VALUE(LEFT(C35,LEN(C35)-1))&gt;=总览!$H$6),总览!$I$6,IF(AND(总览!$F$6&lt;&gt;"",B35*100+VALUE(LEFT(C35,LEN(C35)-1))&gt;=总览!$F$6),总览!$G$6,IF(AND(总览!$D$6&lt;&gt;"",B35*100+VALUE(LEFT(C35,LEN(C35)-1))&gt;=总览!$D$6),总览!$E$6,总览!$B$6)))))</f>
        <v/>
      </c>
      <c r="E35" s="32">
        <f>IF(C35="12月",IF(AND(总览!$L$7&lt;&gt;"",B35*100+VALUE(LEFT(C35,LEN(C35)-1))&gt;=总览!$L$7),总览!$M$7,IF(AND(总览!$J$7&lt;&gt;"",B35*100+VALUE(LEFT(C35,LEN(C35)-1))&gt;=总览!$J$7),总览!$K$7,IF(AND(总览!$H$7&lt;&gt;"",B35*100+VALUE(LEFT(C35,LEN(C35)-1))&gt;=总览!$H$7),总览!$I$7,IF(AND(总览!$F$7&lt;&gt;"",B35*100+VALUE(LEFT(C35,LEN(C35)-1))&gt;=总览!$F$7),总览!$G$7,IF(AND(总览!$D$7&lt;&gt;"",B35*100+VALUE(LEFT(C35,LEN(C35)-1))&gt;=总览!$D$7),总览!$E$7,总览!$B$7))))),0)</f>
        <v/>
      </c>
      <c r="F35" s="32">
        <f>ROUND(Q34*总览!$B$14/12,0)</f>
        <v/>
      </c>
      <c r="G35" s="32">
        <f>D35+E35+F35</f>
        <v/>
      </c>
      <c r="H35" s="32">
        <f>IF(OR(B35&gt;2027,AND(B35=2027,VALUE(LEFT(C35,LEN(C35)-1))&gt;=9)),IF(AND(总览!$L$10&lt;&gt;"",B35*100+VALUE(LEFT(C35,LEN(C35)-1))&gt;=总览!$L$10),总览!$M$10,IF(AND(总览!$J$10&lt;&gt;"",B35*100+VALUE(LEFT(C35,LEN(C35)-1))&gt;=总览!$J$10),总览!$K$10,IF(AND(总览!$H$10&lt;&gt;"",B35*100+VALUE(LEFT(C35,LEN(C35)-1))&gt;=总览!$H$10),总览!$I$10,IF(AND(总览!$F$10&lt;&gt;"",B35*100+VALUE(LEFT(C35,LEN(C35)-1))&gt;=总览!$F$10),总览!$G$10,IF(AND(总览!$D$10&lt;&gt;"",B35*100+VALUE(LEFT(C35,LEN(C35)-1))&gt;=总览!$D$10),总览!$E$10,总览!$B$10))))),IF(AND(总览!$L$9&lt;&gt;"",B35*100+VALUE(LEFT(C35,LEN(C35)-1))&gt;=总览!$L$9),总览!$M$9,IF(AND(总览!$J$9&lt;&gt;"",B35*100+VALUE(LEFT(C35,LEN(C35)-1))&gt;=总览!$J$9),总览!$K$9,IF(AND(总览!$H$9&lt;&gt;"",B35*100+VALUE(LEFT(C35,LEN(C35)-1))&gt;=总览!$H$9),总览!$I$9,IF(AND(总览!$F$9&lt;&gt;"",B35*100+VALUE(LEFT(C35,LEN(C35)-1))&gt;=总览!$F$9),总览!$G$9,IF(AND(总览!$D$9&lt;&gt;"",B35*100+VALUE(LEFT(C35,LEN(C35)-1))&gt;=总览!$D$9),总览!$E$9,总览!$B$9))))))</f>
        <v/>
      </c>
      <c r="I35" s="32">
        <f>IF(AND(总览!$L$11&lt;&gt;"",B35*100+VALUE(LEFT(C35,LEN(C35)-1))&gt;=总览!$L$11),总览!$M$11,IF(AND(总览!$J$11&lt;&gt;"",B35*100+VALUE(LEFT(C35,LEN(C35)-1))&gt;=总览!$J$11),总览!$K$11,IF(AND(总览!$H$11&lt;&gt;"",B35*100+VALUE(LEFT(C35,LEN(C35)-1))&gt;=总览!$H$11),总览!$I$11,IF(AND(总览!$F$11&lt;&gt;"",B35*100+VALUE(LEFT(C35,LEN(C35)-1))&gt;=总览!$F$11),总览!$G$11,IF(AND(总览!$D$11&lt;&gt;"",B35*100+VALUE(LEFT(C35,LEN(C35)-1))&gt;=总览!$D$11),总览!$E$11,总览!$B$11)))))</f>
        <v/>
      </c>
      <c r="J35" s="32">
        <f>IF(OR(B35&gt;2027,AND(B35=2027,VALUE(LEFT(C35,LEN(C35)-1))&gt;=9)),IF(AND(总览!$L$12&lt;&gt;"",B35*100+VALUE(LEFT(C35,LEN(C35)-1))&gt;=总览!$L$12),总览!$M$12,IF(AND(总览!$J$12&lt;&gt;"",B35*100+VALUE(LEFT(C35,LEN(C35)-1))&gt;=总览!$J$12),总览!$K$12,IF(AND(总览!$H$12&lt;&gt;"",B35*100+VALUE(LEFT(C35,LEN(C35)-1))&gt;=总览!$H$12),总览!$I$12,IF(AND(总览!$F$12&lt;&gt;"",B35*100+VALUE(LEFT(C35,LEN(C35)-1))&gt;=总览!$F$12),总览!$G$12,IF(AND(总览!$D$12&lt;&gt;"",B35*100+VALUE(LEFT(C35,LEN(C35)-1))&gt;=总览!$D$12),总览!$E$12,总览!$B$12))))),0)</f>
        <v/>
      </c>
      <c r="K35" s="32">
        <f>IF(AND(B35=2026,C35="5月"),120000,IF(AND(B35=2027,C35="9月"),30000,IF(C35="10月",IF(AND(总览!$L$13&lt;&gt;"",B35*100+VALUE(LEFT(C35,LEN(C35)-1))&gt;=总览!$L$13),总览!$M$13,IF(AND(总览!$J$13&lt;&gt;"",B35*100+VALUE(LEFT(C35,LEN(C35)-1))&gt;=总览!$J$13),总览!$K$13,IF(AND(总览!$H$13&lt;&gt;"",B35*100+VALUE(LEFT(C35,LEN(C35)-1))&gt;=总览!$H$13),总览!$I$13,IF(AND(总览!$F$13&lt;&gt;"",B35*100+VALUE(LEFT(C35,LEN(C35)-1))&gt;=总览!$F$13),总览!$G$13,IF(AND(总览!$D$13&lt;&gt;"",B35*100+VALUE(LEFT(C35,LEN(C35)-1))&gt;=总览!$D$13),总览!$E$13,总览!$B$13))))),0)))</f>
        <v/>
      </c>
      <c r="L35" s="31" t="inlineStr"/>
      <c r="M35" s="32">
        <f>IF(B35*100+VALUE(LEFT(C35,LEN(C35)-1))=总览!$B$18,总览!$B$23,0)</f>
        <v/>
      </c>
      <c r="N35" s="32">
        <f>IF(B35*100+VALUE(LEFT(C35,LEN(C35)-1))&gt;总览!$B$18,总览!$B$25,0)</f>
        <v/>
      </c>
      <c r="O35" s="32">
        <f>SUM(H35:J35)+K35+M35+N35</f>
        <v/>
      </c>
      <c r="P35" s="32">
        <f>G35-O35</f>
        <v/>
      </c>
      <c r="Q35" s="32">
        <f>Q34+P35</f>
        <v/>
      </c>
      <c r="R35" s="32">
        <f>IF(B35*100+VALUE(LEFT(C35,LEN(C35)-1))&lt;总览!$B$18,0,IF(B35*100+VALUE(LEFT(C35,LEN(C35)-1))=总览!$B$18,总览!$B$24,R34-(总览!$B$25-R34*总览!$B$22/12)))</f>
        <v/>
      </c>
    </row>
    <row r="36">
      <c r="A36" s="35" t="n">
        <v>35</v>
      </c>
      <c r="B36" s="35" t="n">
        <v>2028</v>
      </c>
      <c r="C36" s="35" t="inlineStr">
        <is>
          <t>12月</t>
        </is>
      </c>
      <c r="D36" s="36">
        <f>IF(AND(总览!$L$6&lt;&gt;"",B36*100+VALUE(LEFT(C36,LEN(C36)-1))&gt;=总览!$L$6),总览!$M$6,IF(AND(总览!$J$6&lt;&gt;"",B36*100+VALUE(LEFT(C36,LEN(C36)-1))&gt;=总览!$J$6),总览!$K$6,IF(AND(总览!$H$6&lt;&gt;"",B36*100+VALUE(LEFT(C36,LEN(C36)-1))&gt;=总览!$H$6),总览!$I$6,IF(AND(总览!$F$6&lt;&gt;"",B36*100+VALUE(LEFT(C36,LEN(C36)-1))&gt;=总览!$F$6),总览!$G$6,IF(AND(总览!$D$6&lt;&gt;"",B36*100+VALUE(LEFT(C36,LEN(C36)-1))&gt;=总览!$D$6),总览!$E$6,总览!$B$6)))))</f>
        <v/>
      </c>
      <c r="E36" s="36">
        <f>IF(C36="12月",IF(AND(总览!$L$7&lt;&gt;"",B36*100+VALUE(LEFT(C36,LEN(C36)-1))&gt;=总览!$L$7),总览!$M$7,IF(AND(总览!$J$7&lt;&gt;"",B36*100+VALUE(LEFT(C36,LEN(C36)-1))&gt;=总览!$J$7),总览!$K$7,IF(AND(总览!$H$7&lt;&gt;"",B36*100+VALUE(LEFT(C36,LEN(C36)-1))&gt;=总览!$H$7),总览!$I$7,IF(AND(总览!$F$7&lt;&gt;"",B36*100+VALUE(LEFT(C36,LEN(C36)-1))&gt;=总览!$F$7),总览!$G$7,IF(AND(总览!$D$7&lt;&gt;"",B36*100+VALUE(LEFT(C36,LEN(C36)-1))&gt;=总览!$D$7),总览!$E$7,总览!$B$7))))),0)</f>
        <v/>
      </c>
      <c r="F36" s="36">
        <f>ROUND(Q35*总览!$B$14/12,0)</f>
        <v/>
      </c>
      <c r="G36" s="36">
        <f>D36+E36+F36</f>
        <v/>
      </c>
      <c r="H36" s="36">
        <f>IF(OR(B36&gt;2027,AND(B36=2027,VALUE(LEFT(C36,LEN(C36)-1))&gt;=9)),IF(AND(总览!$L$10&lt;&gt;"",B36*100+VALUE(LEFT(C36,LEN(C36)-1))&gt;=总览!$L$10),总览!$M$10,IF(AND(总览!$J$10&lt;&gt;"",B36*100+VALUE(LEFT(C36,LEN(C36)-1))&gt;=总览!$J$10),总览!$K$10,IF(AND(总览!$H$10&lt;&gt;"",B36*100+VALUE(LEFT(C36,LEN(C36)-1))&gt;=总览!$H$10),总览!$I$10,IF(AND(总览!$F$10&lt;&gt;"",B36*100+VALUE(LEFT(C36,LEN(C36)-1))&gt;=总览!$F$10),总览!$G$10,IF(AND(总览!$D$10&lt;&gt;"",B36*100+VALUE(LEFT(C36,LEN(C36)-1))&gt;=总览!$D$10),总览!$E$10,总览!$B$10))))),IF(AND(总览!$L$9&lt;&gt;"",B36*100+VALUE(LEFT(C36,LEN(C36)-1))&gt;=总览!$L$9),总览!$M$9,IF(AND(总览!$J$9&lt;&gt;"",B36*100+VALUE(LEFT(C36,LEN(C36)-1))&gt;=总览!$J$9),总览!$K$9,IF(AND(总览!$H$9&lt;&gt;"",B36*100+VALUE(LEFT(C36,LEN(C36)-1))&gt;=总览!$H$9),总览!$I$9,IF(AND(总览!$F$9&lt;&gt;"",B36*100+VALUE(LEFT(C36,LEN(C36)-1))&gt;=总览!$F$9),总览!$G$9,IF(AND(总览!$D$9&lt;&gt;"",B36*100+VALUE(LEFT(C36,LEN(C36)-1))&gt;=总览!$D$9),总览!$E$9,总览!$B$9))))))</f>
        <v/>
      </c>
      <c r="I36" s="36">
        <f>IF(AND(总览!$L$11&lt;&gt;"",B36*100+VALUE(LEFT(C36,LEN(C36)-1))&gt;=总览!$L$11),总览!$M$11,IF(AND(总览!$J$11&lt;&gt;"",B36*100+VALUE(LEFT(C36,LEN(C36)-1))&gt;=总览!$J$11),总览!$K$11,IF(AND(总览!$H$11&lt;&gt;"",B36*100+VALUE(LEFT(C36,LEN(C36)-1))&gt;=总览!$H$11),总览!$I$11,IF(AND(总览!$F$11&lt;&gt;"",B36*100+VALUE(LEFT(C36,LEN(C36)-1))&gt;=总览!$F$11),总览!$G$11,IF(AND(总览!$D$11&lt;&gt;"",B36*100+VALUE(LEFT(C36,LEN(C36)-1))&gt;=总览!$D$11),总览!$E$11,总览!$B$11)))))</f>
        <v/>
      </c>
      <c r="J36" s="36">
        <f>IF(OR(B36&gt;2027,AND(B36=2027,VALUE(LEFT(C36,LEN(C36)-1))&gt;=9)),IF(AND(总览!$L$12&lt;&gt;"",B36*100+VALUE(LEFT(C36,LEN(C36)-1))&gt;=总览!$L$12),总览!$M$12,IF(AND(总览!$J$12&lt;&gt;"",B36*100+VALUE(LEFT(C36,LEN(C36)-1))&gt;=总览!$J$12),总览!$K$12,IF(AND(总览!$H$12&lt;&gt;"",B36*100+VALUE(LEFT(C36,LEN(C36)-1))&gt;=总览!$H$12),总览!$I$12,IF(AND(总览!$F$12&lt;&gt;"",B36*100+VALUE(LEFT(C36,LEN(C36)-1))&gt;=总览!$F$12),总览!$G$12,IF(AND(总览!$D$12&lt;&gt;"",B36*100+VALUE(LEFT(C36,LEN(C36)-1))&gt;=总览!$D$12),总览!$E$12,总览!$B$12))))),0)</f>
        <v/>
      </c>
      <c r="K36" s="36">
        <f>IF(AND(B36=2026,C36="5月"),120000,IF(AND(B36=2027,C36="9月"),30000,IF(C36="10月",IF(AND(总览!$L$13&lt;&gt;"",B36*100+VALUE(LEFT(C36,LEN(C36)-1))&gt;=总览!$L$13),总览!$M$13,IF(AND(总览!$J$13&lt;&gt;"",B36*100+VALUE(LEFT(C36,LEN(C36)-1))&gt;=总览!$J$13),总览!$K$13,IF(AND(总览!$H$13&lt;&gt;"",B36*100+VALUE(LEFT(C36,LEN(C36)-1))&gt;=总览!$H$13),总览!$I$13,IF(AND(总览!$F$13&lt;&gt;"",B36*100+VALUE(LEFT(C36,LEN(C36)-1))&gt;=总览!$F$13),总览!$G$13,IF(AND(总览!$D$13&lt;&gt;"",B36*100+VALUE(LEFT(C36,LEN(C36)-1))&gt;=总览!$D$13),总览!$E$13,总览!$B$13))))),0)))</f>
        <v/>
      </c>
      <c r="L36" s="35" t="inlineStr"/>
      <c r="M36" s="36">
        <f>IF(B36*100+VALUE(LEFT(C36,LEN(C36)-1))=总览!$B$18,总览!$B$23,0)</f>
        <v/>
      </c>
      <c r="N36" s="36">
        <f>IF(B36*100+VALUE(LEFT(C36,LEN(C36)-1))&gt;总览!$B$18,总览!$B$25,0)</f>
        <v/>
      </c>
      <c r="O36" s="36">
        <f>SUM(H36:J36)+K36+M36+N36</f>
        <v/>
      </c>
      <c r="P36" s="36">
        <f>G36-O36</f>
        <v/>
      </c>
      <c r="Q36" s="36">
        <f>Q35+P36</f>
        <v/>
      </c>
      <c r="R36" s="36">
        <f>IF(B36*100+VALUE(LEFT(C36,LEN(C36)-1))&lt;总览!$B$18,0,IF(B36*100+VALUE(LEFT(C36,LEN(C36)-1))=总览!$B$18,总览!$B$24,R35-(总览!$B$25-R35*总览!$B$22/12)))</f>
        <v/>
      </c>
    </row>
    <row r="37">
      <c r="A37" s="31" t="n">
        <v>36</v>
      </c>
      <c r="B37" s="31" t="n">
        <v>2029</v>
      </c>
      <c r="C37" s="31" t="inlineStr">
        <is>
          <t>1月</t>
        </is>
      </c>
      <c r="D37" s="32">
        <f>IF(AND(总览!$L$6&lt;&gt;"",B37*100+VALUE(LEFT(C37,LEN(C37)-1))&gt;=总览!$L$6),总览!$M$6,IF(AND(总览!$J$6&lt;&gt;"",B37*100+VALUE(LEFT(C37,LEN(C37)-1))&gt;=总览!$J$6),总览!$K$6,IF(AND(总览!$H$6&lt;&gt;"",B37*100+VALUE(LEFT(C37,LEN(C37)-1))&gt;=总览!$H$6),总览!$I$6,IF(AND(总览!$F$6&lt;&gt;"",B37*100+VALUE(LEFT(C37,LEN(C37)-1))&gt;=总览!$F$6),总览!$G$6,IF(AND(总览!$D$6&lt;&gt;"",B37*100+VALUE(LEFT(C37,LEN(C37)-1))&gt;=总览!$D$6),总览!$E$6,总览!$B$6)))))</f>
        <v/>
      </c>
      <c r="E37" s="32">
        <f>IF(C37="12月",IF(AND(总览!$L$7&lt;&gt;"",B37*100+VALUE(LEFT(C37,LEN(C37)-1))&gt;=总览!$L$7),总览!$M$7,IF(AND(总览!$J$7&lt;&gt;"",B37*100+VALUE(LEFT(C37,LEN(C37)-1))&gt;=总览!$J$7),总览!$K$7,IF(AND(总览!$H$7&lt;&gt;"",B37*100+VALUE(LEFT(C37,LEN(C37)-1))&gt;=总览!$H$7),总览!$I$7,IF(AND(总览!$F$7&lt;&gt;"",B37*100+VALUE(LEFT(C37,LEN(C37)-1))&gt;=总览!$F$7),总览!$G$7,IF(AND(总览!$D$7&lt;&gt;"",B37*100+VALUE(LEFT(C37,LEN(C37)-1))&gt;=总览!$D$7),总览!$E$7,总览!$B$7))))),0)</f>
        <v/>
      </c>
      <c r="F37" s="32">
        <f>ROUND(Q36*总览!$B$14/12,0)</f>
        <v/>
      </c>
      <c r="G37" s="32">
        <f>D37+E37+F37</f>
        <v/>
      </c>
      <c r="H37" s="32">
        <f>IF(OR(B37&gt;2027,AND(B37=2027,VALUE(LEFT(C37,LEN(C37)-1))&gt;=9)),IF(AND(总览!$L$10&lt;&gt;"",B37*100+VALUE(LEFT(C37,LEN(C37)-1))&gt;=总览!$L$10),总览!$M$10,IF(AND(总览!$J$10&lt;&gt;"",B37*100+VALUE(LEFT(C37,LEN(C37)-1))&gt;=总览!$J$10),总览!$K$10,IF(AND(总览!$H$10&lt;&gt;"",B37*100+VALUE(LEFT(C37,LEN(C37)-1))&gt;=总览!$H$10),总览!$I$10,IF(AND(总览!$F$10&lt;&gt;"",B37*100+VALUE(LEFT(C37,LEN(C37)-1))&gt;=总览!$F$10),总览!$G$10,IF(AND(总览!$D$10&lt;&gt;"",B37*100+VALUE(LEFT(C37,LEN(C37)-1))&gt;=总览!$D$10),总览!$E$10,总览!$B$10))))),IF(AND(总览!$L$9&lt;&gt;"",B37*100+VALUE(LEFT(C37,LEN(C37)-1))&gt;=总览!$L$9),总览!$M$9,IF(AND(总览!$J$9&lt;&gt;"",B37*100+VALUE(LEFT(C37,LEN(C37)-1))&gt;=总览!$J$9),总览!$K$9,IF(AND(总览!$H$9&lt;&gt;"",B37*100+VALUE(LEFT(C37,LEN(C37)-1))&gt;=总览!$H$9),总览!$I$9,IF(AND(总览!$F$9&lt;&gt;"",B37*100+VALUE(LEFT(C37,LEN(C37)-1))&gt;=总览!$F$9),总览!$G$9,IF(AND(总览!$D$9&lt;&gt;"",B37*100+VALUE(LEFT(C37,LEN(C37)-1))&gt;=总览!$D$9),总览!$E$9,总览!$B$9))))))</f>
        <v/>
      </c>
      <c r="I37" s="32">
        <f>IF(AND(总览!$L$11&lt;&gt;"",B37*100+VALUE(LEFT(C37,LEN(C37)-1))&gt;=总览!$L$11),总览!$M$11,IF(AND(总览!$J$11&lt;&gt;"",B37*100+VALUE(LEFT(C37,LEN(C37)-1))&gt;=总览!$J$11),总览!$K$11,IF(AND(总览!$H$11&lt;&gt;"",B37*100+VALUE(LEFT(C37,LEN(C37)-1))&gt;=总览!$H$11),总览!$I$11,IF(AND(总览!$F$11&lt;&gt;"",B37*100+VALUE(LEFT(C37,LEN(C37)-1))&gt;=总览!$F$11),总览!$G$11,IF(AND(总览!$D$11&lt;&gt;"",B37*100+VALUE(LEFT(C37,LEN(C37)-1))&gt;=总览!$D$11),总览!$E$11,总览!$B$11)))))</f>
        <v/>
      </c>
      <c r="J37" s="32">
        <f>IF(OR(B37&gt;2027,AND(B37=2027,VALUE(LEFT(C37,LEN(C37)-1))&gt;=9)),IF(AND(总览!$L$12&lt;&gt;"",B37*100+VALUE(LEFT(C37,LEN(C37)-1))&gt;=总览!$L$12),总览!$M$12,IF(AND(总览!$J$12&lt;&gt;"",B37*100+VALUE(LEFT(C37,LEN(C37)-1))&gt;=总览!$J$12),总览!$K$12,IF(AND(总览!$H$12&lt;&gt;"",B37*100+VALUE(LEFT(C37,LEN(C37)-1))&gt;=总览!$H$12),总览!$I$12,IF(AND(总览!$F$12&lt;&gt;"",B37*100+VALUE(LEFT(C37,LEN(C37)-1))&gt;=总览!$F$12),总览!$G$12,IF(AND(总览!$D$12&lt;&gt;"",B37*100+VALUE(LEFT(C37,LEN(C37)-1))&gt;=总览!$D$12),总览!$E$12,总览!$B$12))))),0)</f>
        <v/>
      </c>
      <c r="K37" s="32">
        <f>IF(AND(B37=2026,C37="5月"),120000,IF(AND(B37=2027,C37="9月"),30000,IF(C37="10月",IF(AND(总览!$L$13&lt;&gt;"",B37*100+VALUE(LEFT(C37,LEN(C37)-1))&gt;=总览!$L$13),总览!$M$13,IF(AND(总览!$J$13&lt;&gt;"",B37*100+VALUE(LEFT(C37,LEN(C37)-1))&gt;=总览!$J$13),总览!$K$13,IF(AND(总览!$H$13&lt;&gt;"",B37*100+VALUE(LEFT(C37,LEN(C37)-1))&gt;=总览!$H$13),总览!$I$13,IF(AND(总览!$F$13&lt;&gt;"",B37*100+VALUE(LEFT(C37,LEN(C37)-1))&gt;=总览!$F$13),总览!$G$13,IF(AND(总览!$D$13&lt;&gt;"",B37*100+VALUE(LEFT(C37,LEN(C37)-1))&gt;=总览!$D$13),总览!$E$13,总览!$B$13))))),0)))</f>
        <v/>
      </c>
      <c r="L37" s="31" t="inlineStr"/>
      <c r="M37" s="32">
        <f>IF(B37*100+VALUE(LEFT(C37,LEN(C37)-1))=总览!$B$18,总览!$B$23,0)</f>
        <v/>
      </c>
      <c r="N37" s="32">
        <f>IF(B37*100+VALUE(LEFT(C37,LEN(C37)-1))&gt;总览!$B$18,总览!$B$25,0)</f>
        <v/>
      </c>
      <c r="O37" s="32">
        <f>SUM(H37:J37)+K37+M37+N37</f>
        <v/>
      </c>
      <c r="P37" s="32">
        <f>G37-O37</f>
        <v/>
      </c>
      <c r="Q37" s="32">
        <f>Q36+P37</f>
        <v/>
      </c>
      <c r="R37" s="32">
        <f>IF(B37*100+VALUE(LEFT(C37,LEN(C37)-1))&lt;总览!$B$18,0,IF(B37*100+VALUE(LEFT(C37,LEN(C37)-1))=总览!$B$18,总览!$B$24,R36-(总览!$B$25-R36*总览!$B$22/12)))</f>
        <v/>
      </c>
    </row>
    <row r="38">
      <c r="A38" s="30" t="n">
        <v>37</v>
      </c>
      <c r="B38" s="30" t="n">
        <v>2029</v>
      </c>
      <c r="C38" s="30" t="inlineStr">
        <is>
          <t>2月</t>
        </is>
      </c>
      <c r="D38" s="11">
        <f>IF(AND(总览!$L$6&lt;&gt;"",B38*100+VALUE(LEFT(C38,LEN(C38)-1))&gt;=总览!$L$6),总览!$M$6,IF(AND(总览!$J$6&lt;&gt;"",B38*100+VALUE(LEFT(C38,LEN(C38)-1))&gt;=总览!$J$6),总览!$K$6,IF(AND(总览!$H$6&lt;&gt;"",B38*100+VALUE(LEFT(C38,LEN(C38)-1))&gt;=总览!$H$6),总览!$I$6,IF(AND(总览!$F$6&lt;&gt;"",B38*100+VALUE(LEFT(C38,LEN(C38)-1))&gt;=总览!$F$6),总览!$G$6,IF(AND(总览!$D$6&lt;&gt;"",B38*100+VALUE(LEFT(C38,LEN(C38)-1))&gt;=总览!$D$6),总览!$E$6,总览!$B$6)))))</f>
        <v/>
      </c>
      <c r="E38" s="11">
        <f>IF(C38="12月",IF(AND(总览!$L$7&lt;&gt;"",B38*100+VALUE(LEFT(C38,LEN(C38)-1))&gt;=总览!$L$7),总览!$M$7,IF(AND(总览!$J$7&lt;&gt;"",B38*100+VALUE(LEFT(C38,LEN(C38)-1))&gt;=总览!$J$7),总览!$K$7,IF(AND(总览!$H$7&lt;&gt;"",B38*100+VALUE(LEFT(C38,LEN(C38)-1))&gt;=总览!$H$7),总览!$I$7,IF(AND(总览!$F$7&lt;&gt;"",B38*100+VALUE(LEFT(C38,LEN(C38)-1))&gt;=总览!$F$7),总览!$G$7,IF(AND(总览!$D$7&lt;&gt;"",B38*100+VALUE(LEFT(C38,LEN(C38)-1))&gt;=总览!$D$7),总览!$E$7,总览!$B$7))))),0)</f>
        <v/>
      </c>
      <c r="F38" s="11">
        <f>ROUND(Q37*总览!$B$14/12,0)</f>
        <v/>
      </c>
      <c r="G38" s="11">
        <f>D38+E38+F38</f>
        <v/>
      </c>
      <c r="H38" s="11">
        <f>IF(OR(B38&gt;2027,AND(B38=2027,VALUE(LEFT(C38,LEN(C38)-1))&gt;=9)),IF(AND(总览!$L$10&lt;&gt;"",B38*100+VALUE(LEFT(C38,LEN(C38)-1))&gt;=总览!$L$10),总览!$M$10,IF(AND(总览!$J$10&lt;&gt;"",B38*100+VALUE(LEFT(C38,LEN(C38)-1))&gt;=总览!$J$10),总览!$K$10,IF(AND(总览!$H$10&lt;&gt;"",B38*100+VALUE(LEFT(C38,LEN(C38)-1))&gt;=总览!$H$10),总览!$I$10,IF(AND(总览!$F$10&lt;&gt;"",B38*100+VALUE(LEFT(C38,LEN(C38)-1))&gt;=总览!$F$10),总览!$G$10,IF(AND(总览!$D$10&lt;&gt;"",B38*100+VALUE(LEFT(C38,LEN(C38)-1))&gt;=总览!$D$10),总览!$E$10,总览!$B$10))))),IF(AND(总览!$L$9&lt;&gt;"",B38*100+VALUE(LEFT(C38,LEN(C38)-1))&gt;=总览!$L$9),总览!$M$9,IF(AND(总览!$J$9&lt;&gt;"",B38*100+VALUE(LEFT(C38,LEN(C38)-1))&gt;=总览!$J$9),总览!$K$9,IF(AND(总览!$H$9&lt;&gt;"",B38*100+VALUE(LEFT(C38,LEN(C38)-1))&gt;=总览!$H$9),总览!$I$9,IF(AND(总览!$F$9&lt;&gt;"",B38*100+VALUE(LEFT(C38,LEN(C38)-1))&gt;=总览!$F$9),总览!$G$9,IF(AND(总览!$D$9&lt;&gt;"",B38*100+VALUE(LEFT(C38,LEN(C38)-1))&gt;=总览!$D$9),总览!$E$9,总览!$B$9))))))</f>
        <v/>
      </c>
      <c r="I38" s="11">
        <f>IF(AND(总览!$L$11&lt;&gt;"",B38*100+VALUE(LEFT(C38,LEN(C38)-1))&gt;=总览!$L$11),总览!$M$11,IF(AND(总览!$J$11&lt;&gt;"",B38*100+VALUE(LEFT(C38,LEN(C38)-1))&gt;=总览!$J$11),总览!$K$11,IF(AND(总览!$H$11&lt;&gt;"",B38*100+VALUE(LEFT(C38,LEN(C38)-1))&gt;=总览!$H$11),总览!$I$11,IF(AND(总览!$F$11&lt;&gt;"",B38*100+VALUE(LEFT(C38,LEN(C38)-1))&gt;=总览!$F$11),总览!$G$11,IF(AND(总览!$D$11&lt;&gt;"",B38*100+VALUE(LEFT(C38,LEN(C38)-1))&gt;=总览!$D$11),总览!$E$11,总览!$B$11)))))</f>
        <v/>
      </c>
      <c r="J38" s="11">
        <f>IF(OR(B38&gt;2027,AND(B38=2027,VALUE(LEFT(C38,LEN(C38)-1))&gt;=9)),IF(AND(总览!$L$12&lt;&gt;"",B38*100+VALUE(LEFT(C38,LEN(C38)-1))&gt;=总览!$L$12),总览!$M$12,IF(AND(总览!$J$12&lt;&gt;"",B38*100+VALUE(LEFT(C38,LEN(C38)-1))&gt;=总览!$J$12),总览!$K$12,IF(AND(总览!$H$12&lt;&gt;"",B38*100+VALUE(LEFT(C38,LEN(C38)-1))&gt;=总览!$H$12),总览!$I$12,IF(AND(总览!$F$12&lt;&gt;"",B38*100+VALUE(LEFT(C38,LEN(C38)-1))&gt;=总览!$F$12),总览!$G$12,IF(AND(总览!$D$12&lt;&gt;"",B38*100+VALUE(LEFT(C38,LEN(C38)-1))&gt;=总览!$D$12),总览!$E$12,总览!$B$12))))),0)</f>
        <v/>
      </c>
      <c r="K38" s="11">
        <f>IF(AND(B38=2026,C38="5月"),120000,IF(AND(B38=2027,C38="9月"),30000,IF(C38="10月",IF(AND(总览!$L$13&lt;&gt;"",B38*100+VALUE(LEFT(C38,LEN(C38)-1))&gt;=总览!$L$13),总览!$M$13,IF(AND(总览!$J$13&lt;&gt;"",B38*100+VALUE(LEFT(C38,LEN(C38)-1))&gt;=总览!$J$13),总览!$K$13,IF(AND(总览!$H$13&lt;&gt;"",B38*100+VALUE(LEFT(C38,LEN(C38)-1))&gt;=总览!$H$13),总览!$I$13,IF(AND(总览!$F$13&lt;&gt;"",B38*100+VALUE(LEFT(C38,LEN(C38)-1))&gt;=总览!$F$13),总览!$G$13,IF(AND(总览!$D$13&lt;&gt;"",B38*100+VALUE(LEFT(C38,LEN(C38)-1))&gt;=总览!$D$13),总览!$E$13,总览!$B$13))))),0)))</f>
        <v/>
      </c>
      <c r="L38" s="30" t="inlineStr"/>
      <c r="M38" s="11">
        <f>IF(B38*100+VALUE(LEFT(C38,LEN(C38)-1))=总览!$B$18,总览!$B$23,0)</f>
        <v/>
      </c>
      <c r="N38" s="11">
        <f>IF(B38*100+VALUE(LEFT(C38,LEN(C38)-1))&gt;总览!$B$18,总览!$B$25,0)</f>
        <v/>
      </c>
      <c r="O38" s="11">
        <f>SUM(H38:J38)+K38+M38+N38</f>
        <v/>
      </c>
      <c r="P38" s="11">
        <f>G38-O38</f>
        <v/>
      </c>
      <c r="Q38" s="11">
        <f>Q37+P38</f>
        <v/>
      </c>
      <c r="R38" s="11">
        <f>IF(B38*100+VALUE(LEFT(C38,LEN(C38)-1))&lt;总览!$B$18,0,IF(B38*100+VALUE(LEFT(C38,LEN(C38)-1))=总览!$B$18,总览!$B$24,R37-(总览!$B$25-R37*总览!$B$22/12)))</f>
        <v/>
      </c>
    </row>
    <row r="39">
      <c r="A39" s="31" t="n">
        <v>38</v>
      </c>
      <c r="B39" s="31" t="n">
        <v>2029</v>
      </c>
      <c r="C39" s="31" t="inlineStr">
        <is>
          <t>3月</t>
        </is>
      </c>
      <c r="D39" s="32">
        <f>IF(AND(总览!$L$6&lt;&gt;"",B39*100+VALUE(LEFT(C39,LEN(C39)-1))&gt;=总览!$L$6),总览!$M$6,IF(AND(总览!$J$6&lt;&gt;"",B39*100+VALUE(LEFT(C39,LEN(C39)-1))&gt;=总览!$J$6),总览!$K$6,IF(AND(总览!$H$6&lt;&gt;"",B39*100+VALUE(LEFT(C39,LEN(C39)-1))&gt;=总览!$H$6),总览!$I$6,IF(AND(总览!$F$6&lt;&gt;"",B39*100+VALUE(LEFT(C39,LEN(C39)-1))&gt;=总览!$F$6),总览!$G$6,IF(AND(总览!$D$6&lt;&gt;"",B39*100+VALUE(LEFT(C39,LEN(C39)-1))&gt;=总览!$D$6),总览!$E$6,总览!$B$6)))))</f>
        <v/>
      </c>
      <c r="E39" s="32">
        <f>IF(C39="12月",IF(AND(总览!$L$7&lt;&gt;"",B39*100+VALUE(LEFT(C39,LEN(C39)-1))&gt;=总览!$L$7),总览!$M$7,IF(AND(总览!$J$7&lt;&gt;"",B39*100+VALUE(LEFT(C39,LEN(C39)-1))&gt;=总览!$J$7),总览!$K$7,IF(AND(总览!$H$7&lt;&gt;"",B39*100+VALUE(LEFT(C39,LEN(C39)-1))&gt;=总览!$H$7),总览!$I$7,IF(AND(总览!$F$7&lt;&gt;"",B39*100+VALUE(LEFT(C39,LEN(C39)-1))&gt;=总览!$F$7),总览!$G$7,IF(AND(总览!$D$7&lt;&gt;"",B39*100+VALUE(LEFT(C39,LEN(C39)-1))&gt;=总览!$D$7),总览!$E$7,总览!$B$7))))),0)</f>
        <v/>
      </c>
      <c r="F39" s="32">
        <f>ROUND(Q38*总览!$B$14/12,0)</f>
        <v/>
      </c>
      <c r="G39" s="32">
        <f>D39+E39+F39</f>
        <v/>
      </c>
      <c r="H39" s="32">
        <f>IF(OR(B39&gt;2027,AND(B39=2027,VALUE(LEFT(C39,LEN(C39)-1))&gt;=9)),IF(AND(总览!$L$10&lt;&gt;"",B39*100+VALUE(LEFT(C39,LEN(C39)-1))&gt;=总览!$L$10),总览!$M$10,IF(AND(总览!$J$10&lt;&gt;"",B39*100+VALUE(LEFT(C39,LEN(C39)-1))&gt;=总览!$J$10),总览!$K$10,IF(AND(总览!$H$10&lt;&gt;"",B39*100+VALUE(LEFT(C39,LEN(C39)-1))&gt;=总览!$H$10),总览!$I$10,IF(AND(总览!$F$10&lt;&gt;"",B39*100+VALUE(LEFT(C39,LEN(C39)-1))&gt;=总览!$F$10),总览!$G$10,IF(AND(总览!$D$10&lt;&gt;"",B39*100+VALUE(LEFT(C39,LEN(C39)-1))&gt;=总览!$D$10),总览!$E$10,总览!$B$10))))),IF(AND(总览!$L$9&lt;&gt;"",B39*100+VALUE(LEFT(C39,LEN(C39)-1))&gt;=总览!$L$9),总览!$M$9,IF(AND(总览!$J$9&lt;&gt;"",B39*100+VALUE(LEFT(C39,LEN(C39)-1))&gt;=总览!$J$9),总览!$K$9,IF(AND(总览!$H$9&lt;&gt;"",B39*100+VALUE(LEFT(C39,LEN(C39)-1))&gt;=总览!$H$9),总览!$I$9,IF(AND(总览!$F$9&lt;&gt;"",B39*100+VALUE(LEFT(C39,LEN(C39)-1))&gt;=总览!$F$9),总览!$G$9,IF(AND(总览!$D$9&lt;&gt;"",B39*100+VALUE(LEFT(C39,LEN(C39)-1))&gt;=总览!$D$9),总览!$E$9,总览!$B$9))))))</f>
        <v/>
      </c>
      <c r="I39" s="32">
        <f>IF(AND(总览!$L$11&lt;&gt;"",B39*100+VALUE(LEFT(C39,LEN(C39)-1))&gt;=总览!$L$11),总览!$M$11,IF(AND(总览!$J$11&lt;&gt;"",B39*100+VALUE(LEFT(C39,LEN(C39)-1))&gt;=总览!$J$11),总览!$K$11,IF(AND(总览!$H$11&lt;&gt;"",B39*100+VALUE(LEFT(C39,LEN(C39)-1))&gt;=总览!$H$11),总览!$I$11,IF(AND(总览!$F$11&lt;&gt;"",B39*100+VALUE(LEFT(C39,LEN(C39)-1))&gt;=总览!$F$11),总览!$G$11,IF(AND(总览!$D$11&lt;&gt;"",B39*100+VALUE(LEFT(C39,LEN(C39)-1))&gt;=总览!$D$11),总览!$E$11,总览!$B$11)))))</f>
        <v/>
      </c>
      <c r="J39" s="32">
        <f>IF(OR(B39&gt;2027,AND(B39=2027,VALUE(LEFT(C39,LEN(C39)-1))&gt;=9)),IF(AND(总览!$L$12&lt;&gt;"",B39*100+VALUE(LEFT(C39,LEN(C39)-1))&gt;=总览!$L$12),总览!$M$12,IF(AND(总览!$J$12&lt;&gt;"",B39*100+VALUE(LEFT(C39,LEN(C39)-1))&gt;=总览!$J$12),总览!$K$12,IF(AND(总览!$H$12&lt;&gt;"",B39*100+VALUE(LEFT(C39,LEN(C39)-1))&gt;=总览!$H$12),总览!$I$12,IF(AND(总览!$F$12&lt;&gt;"",B39*100+VALUE(LEFT(C39,LEN(C39)-1))&gt;=总览!$F$12),总览!$G$12,IF(AND(总览!$D$12&lt;&gt;"",B39*100+VALUE(LEFT(C39,LEN(C39)-1))&gt;=总览!$D$12),总览!$E$12,总览!$B$12))))),0)</f>
        <v/>
      </c>
      <c r="K39" s="32">
        <f>IF(AND(B39=2026,C39="5月"),120000,IF(AND(B39=2027,C39="9月"),30000,IF(C39="10月",IF(AND(总览!$L$13&lt;&gt;"",B39*100+VALUE(LEFT(C39,LEN(C39)-1))&gt;=总览!$L$13),总览!$M$13,IF(AND(总览!$J$13&lt;&gt;"",B39*100+VALUE(LEFT(C39,LEN(C39)-1))&gt;=总览!$J$13),总览!$K$13,IF(AND(总览!$H$13&lt;&gt;"",B39*100+VALUE(LEFT(C39,LEN(C39)-1))&gt;=总览!$H$13),总览!$I$13,IF(AND(总览!$F$13&lt;&gt;"",B39*100+VALUE(LEFT(C39,LEN(C39)-1))&gt;=总览!$F$13),总览!$G$13,IF(AND(总览!$D$13&lt;&gt;"",B39*100+VALUE(LEFT(C39,LEN(C39)-1))&gt;=总览!$D$13),总览!$E$13,总览!$B$13))))),0)))</f>
        <v/>
      </c>
      <c r="L39" s="31" t="inlineStr"/>
      <c r="M39" s="32">
        <f>IF(B39*100+VALUE(LEFT(C39,LEN(C39)-1))=总览!$B$18,总览!$B$23,0)</f>
        <v/>
      </c>
      <c r="N39" s="32">
        <f>IF(B39*100+VALUE(LEFT(C39,LEN(C39)-1))&gt;总览!$B$18,总览!$B$25,0)</f>
        <v/>
      </c>
      <c r="O39" s="32">
        <f>SUM(H39:J39)+K39+M39+N39</f>
        <v/>
      </c>
      <c r="P39" s="32">
        <f>G39-O39</f>
        <v/>
      </c>
      <c r="Q39" s="32">
        <f>Q38+P39</f>
        <v/>
      </c>
      <c r="R39" s="32">
        <f>IF(B39*100+VALUE(LEFT(C39,LEN(C39)-1))&lt;总览!$B$18,0,IF(B39*100+VALUE(LEFT(C39,LEN(C39)-1))=总览!$B$18,总览!$B$24,R38-(总览!$B$25-R38*总览!$B$22/12)))</f>
        <v/>
      </c>
    </row>
    <row r="40">
      <c r="A40" s="30" t="n">
        <v>39</v>
      </c>
      <c r="B40" s="30" t="n">
        <v>2029</v>
      </c>
      <c r="C40" s="30" t="inlineStr">
        <is>
          <t>4月</t>
        </is>
      </c>
      <c r="D40" s="11">
        <f>IF(AND(总览!$L$6&lt;&gt;"",B40*100+VALUE(LEFT(C40,LEN(C40)-1))&gt;=总览!$L$6),总览!$M$6,IF(AND(总览!$J$6&lt;&gt;"",B40*100+VALUE(LEFT(C40,LEN(C40)-1))&gt;=总览!$J$6),总览!$K$6,IF(AND(总览!$H$6&lt;&gt;"",B40*100+VALUE(LEFT(C40,LEN(C40)-1))&gt;=总览!$H$6),总览!$I$6,IF(AND(总览!$F$6&lt;&gt;"",B40*100+VALUE(LEFT(C40,LEN(C40)-1))&gt;=总览!$F$6),总览!$G$6,IF(AND(总览!$D$6&lt;&gt;"",B40*100+VALUE(LEFT(C40,LEN(C40)-1))&gt;=总览!$D$6),总览!$E$6,总览!$B$6)))))</f>
        <v/>
      </c>
      <c r="E40" s="11">
        <f>IF(C40="12月",IF(AND(总览!$L$7&lt;&gt;"",B40*100+VALUE(LEFT(C40,LEN(C40)-1))&gt;=总览!$L$7),总览!$M$7,IF(AND(总览!$J$7&lt;&gt;"",B40*100+VALUE(LEFT(C40,LEN(C40)-1))&gt;=总览!$J$7),总览!$K$7,IF(AND(总览!$H$7&lt;&gt;"",B40*100+VALUE(LEFT(C40,LEN(C40)-1))&gt;=总览!$H$7),总览!$I$7,IF(AND(总览!$F$7&lt;&gt;"",B40*100+VALUE(LEFT(C40,LEN(C40)-1))&gt;=总览!$F$7),总览!$G$7,IF(AND(总览!$D$7&lt;&gt;"",B40*100+VALUE(LEFT(C40,LEN(C40)-1))&gt;=总览!$D$7),总览!$E$7,总览!$B$7))))),0)</f>
        <v/>
      </c>
      <c r="F40" s="11">
        <f>ROUND(Q39*总览!$B$14/12,0)</f>
        <v/>
      </c>
      <c r="G40" s="11">
        <f>D40+E40+F40</f>
        <v/>
      </c>
      <c r="H40" s="11">
        <f>IF(OR(B40&gt;2027,AND(B40=2027,VALUE(LEFT(C40,LEN(C40)-1))&gt;=9)),IF(AND(总览!$L$10&lt;&gt;"",B40*100+VALUE(LEFT(C40,LEN(C40)-1))&gt;=总览!$L$10),总览!$M$10,IF(AND(总览!$J$10&lt;&gt;"",B40*100+VALUE(LEFT(C40,LEN(C40)-1))&gt;=总览!$J$10),总览!$K$10,IF(AND(总览!$H$10&lt;&gt;"",B40*100+VALUE(LEFT(C40,LEN(C40)-1))&gt;=总览!$H$10),总览!$I$10,IF(AND(总览!$F$10&lt;&gt;"",B40*100+VALUE(LEFT(C40,LEN(C40)-1))&gt;=总览!$F$10),总览!$G$10,IF(AND(总览!$D$10&lt;&gt;"",B40*100+VALUE(LEFT(C40,LEN(C40)-1))&gt;=总览!$D$10),总览!$E$10,总览!$B$10))))),IF(AND(总览!$L$9&lt;&gt;"",B40*100+VALUE(LEFT(C40,LEN(C40)-1))&gt;=总览!$L$9),总览!$M$9,IF(AND(总览!$J$9&lt;&gt;"",B40*100+VALUE(LEFT(C40,LEN(C40)-1))&gt;=总览!$J$9),总览!$K$9,IF(AND(总览!$H$9&lt;&gt;"",B40*100+VALUE(LEFT(C40,LEN(C40)-1))&gt;=总览!$H$9),总览!$I$9,IF(AND(总览!$F$9&lt;&gt;"",B40*100+VALUE(LEFT(C40,LEN(C40)-1))&gt;=总览!$F$9),总览!$G$9,IF(AND(总览!$D$9&lt;&gt;"",B40*100+VALUE(LEFT(C40,LEN(C40)-1))&gt;=总览!$D$9),总览!$E$9,总览!$B$9))))))</f>
        <v/>
      </c>
      <c r="I40" s="11">
        <f>IF(AND(总览!$L$11&lt;&gt;"",B40*100+VALUE(LEFT(C40,LEN(C40)-1))&gt;=总览!$L$11),总览!$M$11,IF(AND(总览!$J$11&lt;&gt;"",B40*100+VALUE(LEFT(C40,LEN(C40)-1))&gt;=总览!$J$11),总览!$K$11,IF(AND(总览!$H$11&lt;&gt;"",B40*100+VALUE(LEFT(C40,LEN(C40)-1))&gt;=总览!$H$11),总览!$I$11,IF(AND(总览!$F$11&lt;&gt;"",B40*100+VALUE(LEFT(C40,LEN(C40)-1))&gt;=总览!$F$11),总览!$G$11,IF(AND(总览!$D$11&lt;&gt;"",B40*100+VALUE(LEFT(C40,LEN(C40)-1))&gt;=总览!$D$11),总览!$E$11,总览!$B$11)))))</f>
        <v/>
      </c>
      <c r="J40" s="11">
        <f>IF(OR(B40&gt;2027,AND(B40=2027,VALUE(LEFT(C40,LEN(C40)-1))&gt;=9)),IF(AND(总览!$L$12&lt;&gt;"",B40*100+VALUE(LEFT(C40,LEN(C40)-1))&gt;=总览!$L$12),总览!$M$12,IF(AND(总览!$J$12&lt;&gt;"",B40*100+VALUE(LEFT(C40,LEN(C40)-1))&gt;=总览!$J$12),总览!$K$12,IF(AND(总览!$H$12&lt;&gt;"",B40*100+VALUE(LEFT(C40,LEN(C40)-1))&gt;=总览!$H$12),总览!$I$12,IF(AND(总览!$F$12&lt;&gt;"",B40*100+VALUE(LEFT(C40,LEN(C40)-1))&gt;=总览!$F$12),总览!$G$12,IF(AND(总览!$D$12&lt;&gt;"",B40*100+VALUE(LEFT(C40,LEN(C40)-1))&gt;=总览!$D$12),总览!$E$12,总览!$B$12))))),0)</f>
        <v/>
      </c>
      <c r="K40" s="11">
        <f>IF(AND(B40=2026,C40="5月"),120000,IF(AND(B40=2027,C40="9月"),30000,IF(C40="10月",IF(AND(总览!$L$13&lt;&gt;"",B40*100+VALUE(LEFT(C40,LEN(C40)-1))&gt;=总览!$L$13),总览!$M$13,IF(AND(总览!$J$13&lt;&gt;"",B40*100+VALUE(LEFT(C40,LEN(C40)-1))&gt;=总览!$J$13),总览!$K$13,IF(AND(总览!$H$13&lt;&gt;"",B40*100+VALUE(LEFT(C40,LEN(C40)-1))&gt;=总览!$H$13),总览!$I$13,IF(AND(总览!$F$13&lt;&gt;"",B40*100+VALUE(LEFT(C40,LEN(C40)-1))&gt;=总览!$F$13),总览!$G$13,IF(AND(总览!$D$13&lt;&gt;"",B40*100+VALUE(LEFT(C40,LEN(C40)-1))&gt;=总览!$D$13),总览!$E$13,总览!$B$13))))),0)))</f>
        <v/>
      </c>
      <c r="L40" s="30" t="inlineStr"/>
      <c r="M40" s="11">
        <f>IF(B40*100+VALUE(LEFT(C40,LEN(C40)-1))=总览!$B$18,总览!$B$23,0)</f>
        <v/>
      </c>
      <c r="N40" s="11">
        <f>IF(B40*100+VALUE(LEFT(C40,LEN(C40)-1))&gt;总览!$B$18,总览!$B$25,0)</f>
        <v/>
      </c>
      <c r="O40" s="11">
        <f>SUM(H40:J40)+K40+M40+N40</f>
        <v/>
      </c>
      <c r="P40" s="11">
        <f>G40-O40</f>
        <v/>
      </c>
      <c r="Q40" s="11">
        <f>Q39+P40</f>
        <v/>
      </c>
      <c r="R40" s="11">
        <f>IF(B40*100+VALUE(LEFT(C40,LEN(C40)-1))&lt;总览!$B$18,0,IF(B40*100+VALUE(LEFT(C40,LEN(C40)-1))=总览!$B$18,总览!$B$24,R39-(总览!$B$25-R39*总览!$B$22/12)))</f>
        <v/>
      </c>
    </row>
    <row r="41">
      <c r="A41" s="31" t="n">
        <v>40</v>
      </c>
      <c r="B41" s="31" t="n">
        <v>2029</v>
      </c>
      <c r="C41" s="31" t="inlineStr">
        <is>
          <t>5月</t>
        </is>
      </c>
      <c r="D41" s="32">
        <f>IF(AND(总览!$L$6&lt;&gt;"",B41*100+VALUE(LEFT(C41,LEN(C41)-1))&gt;=总览!$L$6),总览!$M$6,IF(AND(总览!$J$6&lt;&gt;"",B41*100+VALUE(LEFT(C41,LEN(C41)-1))&gt;=总览!$J$6),总览!$K$6,IF(AND(总览!$H$6&lt;&gt;"",B41*100+VALUE(LEFT(C41,LEN(C41)-1))&gt;=总览!$H$6),总览!$I$6,IF(AND(总览!$F$6&lt;&gt;"",B41*100+VALUE(LEFT(C41,LEN(C41)-1))&gt;=总览!$F$6),总览!$G$6,IF(AND(总览!$D$6&lt;&gt;"",B41*100+VALUE(LEFT(C41,LEN(C41)-1))&gt;=总览!$D$6),总览!$E$6,总览!$B$6)))))</f>
        <v/>
      </c>
      <c r="E41" s="32">
        <f>IF(C41="12月",IF(AND(总览!$L$7&lt;&gt;"",B41*100+VALUE(LEFT(C41,LEN(C41)-1))&gt;=总览!$L$7),总览!$M$7,IF(AND(总览!$J$7&lt;&gt;"",B41*100+VALUE(LEFT(C41,LEN(C41)-1))&gt;=总览!$J$7),总览!$K$7,IF(AND(总览!$H$7&lt;&gt;"",B41*100+VALUE(LEFT(C41,LEN(C41)-1))&gt;=总览!$H$7),总览!$I$7,IF(AND(总览!$F$7&lt;&gt;"",B41*100+VALUE(LEFT(C41,LEN(C41)-1))&gt;=总览!$F$7),总览!$G$7,IF(AND(总览!$D$7&lt;&gt;"",B41*100+VALUE(LEFT(C41,LEN(C41)-1))&gt;=总览!$D$7),总览!$E$7,总览!$B$7))))),0)</f>
        <v/>
      </c>
      <c r="F41" s="32">
        <f>ROUND(Q40*总览!$B$14/12,0)</f>
        <v/>
      </c>
      <c r="G41" s="32">
        <f>D41+E41+F41</f>
        <v/>
      </c>
      <c r="H41" s="32">
        <f>IF(OR(B41&gt;2027,AND(B41=2027,VALUE(LEFT(C41,LEN(C41)-1))&gt;=9)),IF(AND(总览!$L$10&lt;&gt;"",B41*100+VALUE(LEFT(C41,LEN(C41)-1))&gt;=总览!$L$10),总览!$M$10,IF(AND(总览!$J$10&lt;&gt;"",B41*100+VALUE(LEFT(C41,LEN(C41)-1))&gt;=总览!$J$10),总览!$K$10,IF(AND(总览!$H$10&lt;&gt;"",B41*100+VALUE(LEFT(C41,LEN(C41)-1))&gt;=总览!$H$10),总览!$I$10,IF(AND(总览!$F$10&lt;&gt;"",B41*100+VALUE(LEFT(C41,LEN(C41)-1))&gt;=总览!$F$10),总览!$G$10,IF(AND(总览!$D$10&lt;&gt;"",B41*100+VALUE(LEFT(C41,LEN(C41)-1))&gt;=总览!$D$10),总览!$E$10,总览!$B$10))))),IF(AND(总览!$L$9&lt;&gt;"",B41*100+VALUE(LEFT(C41,LEN(C41)-1))&gt;=总览!$L$9),总览!$M$9,IF(AND(总览!$J$9&lt;&gt;"",B41*100+VALUE(LEFT(C41,LEN(C41)-1))&gt;=总览!$J$9),总览!$K$9,IF(AND(总览!$H$9&lt;&gt;"",B41*100+VALUE(LEFT(C41,LEN(C41)-1))&gt;=总览!$H$9),总览!$I$9,IF(AND(总览!$F$9&lt;&gt;"",B41*100+VALUE(LEFT(C41,LEN(C41)-1))&gt;=总览!$F$9),总览!$G$9,IF(AND(总览!$D$9&lt;&gt;"",B41*100+VALUE(LEFT(C41,LEN(C41)-1))&gt;=总览!$D$9),总览!$E$9,总览!$B$9))))))</f>
        <v/>
      </c>
      <c r="I41" s="32">
        <f>IF(AND(总览!$L$11&lt;&gt;"",B41*100+VALUE(LEFT(C41,LEN(C41)-1))&gt;=总览!$L$11),总览!$M$11,IF(AND(总览!$J$11&lt;&gt;"",B41*100+VALUE(LEFT(C41,LEN(C41)-1))&gt;=总览!$J$11),总览!$K$11,IF(AND(总览!$H$11&lt;&gt;"",B41*100+VALUE(LEFT(C41,LEN(C41)-1))&gt;=总览!$H$11),总览!$I$11,IF(AND(总览!$F$11&lt;&gt;"",B41*100+VALUE(LEFT(C41,LEN(C41)-1))&gt;=总览!$F$11),总览!$G$11,IF(AND(总览!$D$11&lt;&gt;"",B41*100+VALUE(LEFT(C41,LEN(C41)-1))&gt;=总览!$D$11),总览!$E$11,总览!$B$11)))))</f>
        <v/>
      </c>
      <c r="J41" s="32">
        <f>IF(OR(B41&gt;2027,AND(B41=2027,VALUE(LEFT(C41,LEN(C41)-1))&gt;=9)),IF(AND(总览!$L$12&lt;&gt;"",B41*100+VALUE(LEFT(C41,LEN(C41)-1))&gt;=总览!$L$12),总览!$M$12,IF(AND(总览!$J$12&lt;&gt;"",B41*100+VALUE(LEFT(C41,LEN(C41)-1))&gt;=总览!$J$12),总览!$K$12,IF(AND(总览!$H$12&lt;&gt;"",B41*100+VALUE(LEFT(C41,LEN(C41)-1))&gt;=总览!$H$12),总览!$I$12,IF(AND(总览!$F$12&lt;&gt;"",B41*100+VALUE(LEFT(C41,LEN(C41)-1))&gt;=总览!$F$12),总览!$G$12,IF(AND(总览!$D$12&lt;&gt;"",B41*100+VALUE(LEFT(C41,LEN(C41)-1))&gt;=总览!$D$12),总览!$E$12,总览!$B$12))))),0)</f>
        <v/>
      </c>
      <c r="K41" s="32">
        <f>IF(AND(B41=2026,C41="5月"),120000,IF(AND(B41=2027,C41="9月"),30000,IF(C41="10月",IF(AND(总览!$L$13&lt;&gt;"",B41*100+VALUE(LEFT(C41,LEN(C41)-1))&gt;=总览!$L$13),总览!$M$13,IF(AND(总览!$J$13&lt;&gt;"",B41*100+VALUE(LEFT(C41,LEN(C41)-1))&gt;=总览!$J$13),总览!$K$13,IF(AND(总览!$H$13&lt;&gt;"",B41*100+VALUE(LEFT(C41,LEN(C41)-1))&gt;=总览!$H$13),总览!$I$13,IF(AND(总览!$F$13&lt;&gt;"",B41*100+VALUE(LEFT(C41,LEN(C41)-1))&gt;=总览!$F$13),总览!$G$13,IF(AND(总览!$D$13&lt;&gt;"",B41*100+VALUE(LEFT(C41,LEN(C41)-1))&gt;=总览!$D$13),总览!$E$13,总览!$B$13))))),0)))</f>
        <v/>
      </c>
      <c r="L41" s="31" t="inlineStr"/>
      <c r="M41" s="32">
        <f>IF(B41*100+VALUE(LEFT(C41,LEN(C41)-1))=总览!$B$18,总览!$B$23,0)</f>
        <v/>
      </c>
      <c r="N41" s="32">
        <f>IF(B41*100+VALUE(LEFT(C41,LEN(C41)-1))&gt;总览!$B$18,总览!$B$25,0)</f>
        <v/>
      </c>
      <c r="O41" s="32">
        <f>SUM(H41:J41)+K41+M41+N41</f>
        <v/>
      </c>
      <c r="P41" s="32">
        <f>G41-O41</f>
        <v/>
      </c>
      <c r="Q41" s="32">
        <f>Q40+P41</f>
        <v/>
      </c>
      <c r="R41" s="32">
        <f>IF(B41*100+VALUE(LEFT(C41,LEN(C41)-1))&lt;总览!$B$18,0,IF(B41*100+VALUE(LEFT(C41,LEN(C41)-1))=总览!$B$18,总览!$B$24,R40-(总览!$B$25-R40*总览!$B$22/12)))</f>
        <v/>
      </c>
    </row>
    <row r="42">
      <c r="A42" s="30" t="n">
        <v>41</v>
      </c>
      <c r="B42" s="30" t="n">
        <v>2029</v>
      </c>
      <c r="C42" s="30" t="inlineStr">
        <is>
          <t>6月</t>
        </is>
      </c>
      <c r="D42" s="11">
        <f>IF(AND(总览!$L$6&lt;&gt;"",B42*100+VALUE(LEFT(C42,LEN(C42)-1))&gt;=总览!$L$6),总览!$M$6,IF(AND(总览!$J$6&lt;&gt;"",B42*100+VALUE(LEFT(C42,LEN(C42)-1))&gt;=总览!$J$6),总览!$K$6,IF(AND(总览!$H$6&lt;&gt;"",B42*100+VALUE(LEFT(C42,LEN(C42)-1))&gt;=总览!$H$6),总览!$I$6,IF(AND(总览!$F$6&lt;&gt;"",B42*100+VALUE(LEFT(C42,LEN(C42)-1))&gt;=总览!$F$6),总览!$G$6,IF(AND(总览!$D$6&lt;&gt;"",B42*100+VALUE(LEFT(C42,LEN(C42)-1))&gt;=总览!$D$6),总览!$E$6,总览!$B$6)))))</f>
        <v/>
      </c>
      <c r="E42" s="11">
        <f>IF(C42="12月",IF(AND(总览!$L$7&lt;&gt;"",B42*100+VALUE(LEFT(C42,LEN(C42)-1))&gt;=总览!$L$7),总览!$M$7,IF(AND(总览!$J$7&lt;&gt;"",B42*100+VALUE(LEFT(C42,LEN(C42)-1))&gt;=总览!$J$7),总览!$K$7,IF(AND(总览!$H$7&lt;&gt;"",B42*100+VALUE(LEFT(C42,LEN(C42)-1))&gt;=总览!$H$7),总览!$I$7,IF(AND(总览!$F$7&lt;&gt;"",B42*100+VALUE(LEFT(C42,LEN(C42)-1))&gt;=总览!$F$7),总览!$G$7,IF(AND(总览!$D$7&lt;&gt;"",B42*100+VALUE(LEFT(C42,LEN(C42)-1))&gt;=总览!$D$7),总览!$E$7,总览!$B$7))))),0)</f>
        <v/>
      </c>
      <c r="F42" s="11">
        <f>ROUND(Q41*总览!$B$14/12,0)</f>
        <v/>
      </c>
      <c r="G42" s="11">
        <f>D42+E42+F42</f>
        <v/>
      </c>
      <c r="H42" s="11">
        <f>IF(OR(B42&gt;2027,AND(B42=2027,VALUE(LEFT(C42,LEN(C42)-1))&gt;=9)),IF(AND(总览!$L$10&lt;&gt;"",B42*100+VALUE(LEFT(C42,LEN(C42)-1))&gt;=总览!$L$10),总览!$M$10,IF(AND(总览!$J$10&lt;&gt;"",B42*100+VALUE(LEFT(C42,LEN(C42)-1))&gt;=总览!$J$10),总览!$K$10,IF(AND(总览!$H$10&lt;&gt;"",B42*100+VALUE(LEFT(C42,LEN(C42)-1))&gt;=总览!$H$10),总览!$I$10,IF(AND(总览!$F$10&lt;&gt;"",B42*100+VALUE(LEFT(C42,LEN(C42)-1))&gt;=总览!$F$10),总览!$G$10,IF(AND(总览!$D$10&lt;&gt;"",B42*100+VALUE(LEFT(C42,LEN(C42)-1))&gt;=总览!$D$10),总览!$E$10,总览!$B$10))))),IF(AND(总览!$L$9&lt;&gt;"",B42*100+VALUE(LEFT(C42,LEN(C42)-1))&gt;=总览!$L$9),总览!$M$9,IF(AND(总览!$J$9&lt;&gt;"",B42*100+VALUE(LEFT(C42,LEN(C42)-1))&gt;=总览!$J$9),总览!$K$9,IF(AND(总览!$H$9&lt;&gt;"",B42*100+VALUE(LEFT(C42,LEN(C42)-1))&gt;=总览!$H$9),总览!$I$9,IF(AND(总览!$F$9&lt;&gt;"",B42*100+VALUE(LEFT(C42,LEN(C42)-1))&gt;=总览!$F$9),总览!$G$9,IF(AND(总览!$D$9&lt;&gt;"",B42*100+VALUE(LEFT(C42,LEN(C42)-1))&gt;=总览!$D$9),总览!$E$9,总览!$B$9))))))</f>
        <v/>
      </c>
      <c r="I42" s="11">
        <f>IF(AND(总览!$L$11&lt;&gt;"",B42*100+VALUE(LEFT(C42,LEN(C42)-1))&gt;=总览!$L$11),总览!$M$11,IF(AND(总览!$J$11&lt;&gt;"",B42*100+VALUE(LEFT(C42,LEN(C42)-1))&gt;=总览!$J$11),总览!$K$11,IF(AND(总览!$H$11&lt;&gt;"",B42*100+VALUE(LEFT(C42,LEN(C42)-1))&gt;=总览!$H$11),总览!$I$11,IF(AND(总览!$F$11&lt;&gt;"",B42*100+VALUE(LEFT(C42,LEN(C42)-1))&gt;=总览!$F$11),总览!$G$11,IF(AND(总览!$D$11&lt;&gt;"",B42*100+VALUE(LEFT(C42,LEN(C42)-1))&gt;=总览!$D$11),总览!$E$11,总览!$B$11)))))</f>
        <v/>
      </c>
      <c r="J42" s="11">
        <f>IF(OR(B42&gt;2027,AND(B42=2027,VALUE(LEFT(C42,LEN(C42)-1))&gt;=9)),IF(AND(总览!$L$12&lt;&gt;"",B42*100+VALUE(LEFT(C42,LEN(C42)-1))&gt;=总览!$L$12),总览!$M$12,IF(AND(总览!$J$12&lt;&gt;"",B42*100+VALUE(LEFT(C42,LEN(C42)-1))&gt;=总览!$J$12),总览!$K$12,IF(AND(总览!$H$12&lt;&gt;"",B42*100+VALUE(LEFT(C42,LEN(C42)-1))&gt;=总览!$H$12),总览!$I$12,IF(AND(总览!$F$12&lt;&gt;"",B42*100+VALUE(LEFT(C42,LEN(C42)-1))&gt;=总览!$F$12),总览!$G$12,IF(AND(总览!$D$12&lt;&gt;"",B42*100+VALUE(LEFT(C42,LEN(C42)-1))&gt;=总览!$D$12),总览!$E$12,总览!$B$12))))),0)</f>
        <v/>
      </c>
      <c r="K42" s="11">
        <f>IF(AND(B42=2026,C42="5月"),120000,IF(AND(B42=2027,C42="9月"),30000,IF(C42="10月",IF(AND(总览!$L$13&lt;&gt;"",B42*100+VALUE(LEFT(C42,LEN(C42)-1))&gt;=总览!$L$13),总览!$M$13,IF(AND(总览!$J$13&lt;&gt;"",B42*100+VALUE(LEFT(C42,LEN(C42)-1))&gt;=总览!$J$13),总览!$K$13,IF(AND(总览!$H$13&lt;&gt;"",B42*100+VALUE(LEFT(C42,LEN(C42)-1))&gt;=总览!$H$13),总览!$I$13,IF(AND(总览!$F$13&lt;&gt;"",B42*100+VALUE(LEFT(C42,LEN(C42)-1))&gt;=总览!$F$13),总览!$G$13,IF(AND(总览!$D$13&lt;&gt;"",B42*100+VALUE(LEFT(C42,LEN(C42)-1))&gt;=总览!$D$13),总览!$E$13,总览!$B$13))))),0)))</f>
        <v/>
      </c>
      <c r="L42" s="30" t="inlineStr"/>
      <c r="M42" s="11">
        <f>IF(B42*100+VALUE(LEFT(C42,LEN(C42)-1))=总览!$B$18,总览!$B$23,0)</f>
        <v/>
      </c>
      <c r="N42" s="11">
        <f>IF(B42*100+VALUE(LEFT(C42,LEN(C42)-1))&gt;总览!$B$18,总览!$B$25,0)</f>
        <v/>
      </c>
      <c r="O42" s="11">
        <f>SUM(H42:J42)+K42+M42+N42</f>
        <v/>
      </c>
      <c r="P42" s="11">
        <f>G42-O42</f>
        <v/>
      </c>
      <c r="Q42" s="11">
        <f>Q41+P42</f>
        <v/>
      </c>
      <c r="R42" s="11">
        <f>IF(B42*100+VALUE(LEFT(C42,LEN(C42)-1))&lt;总览!$B$18,0,IF(B42*100+VALUE(LEFT(C42,LEN(C42)-1))=总览!$B$18,总览!$B$24,R41-(总览!$B$25-R41*总览!$B$22/12)))</f>
        <v/>
      </c>
    </row>
    <row r="43">
      <c r="A43" s="31" t="n">
        <v>42</v>
      </c>
      <c r="B43" s="31" t="n">
        <v>2029</v>
      </c>
      <c r="C43" s="31" t="inlineStr">
        <is>
          <t>7月</t>
        </is>
      </c>
      <c r="D43" s="32">
        <f>IF(AND(总览!$L$6&lt;&gt;"",B43*100+VALUE(LEFT(C43,LEN(C43)-1))&gt;=总览!$L$6),总览!$M$6,IF(AND(总览!$J$6&lt;&gt;"",B43*100+VALUE(LEFT(C43,LEN(C43)-1))&gt;=总览!$J$6),总览!$K$6,IF(AND(总览!$H$6&lt;&gt;"",B43*100+VALUE(LEFT(C43,LEN(C43)-1))&gt;=总览!$H$6),总览!$I$6,IF(AND(总览!$F$6&lt;&gt;"",B43*100+VALUE(LEFT(C43,LEN(C43)-1))&gt;=总览!$F$6),总览!$G$6,IF(AND(总览!$D$6&lt;&gt;"",B43*100+VALUE(LEFT(C43,LEN(C43)-1))&gt;=总览!$D$6),总览!$E$6,总览!$B$6)))))</f>
        <v/>
      </c>
      <c r="E43" s="32">
        <f>IF(C43="12月",IF(AND(总览!$L$7&lt;&gt;"",B43*100+VALUE(LEFT(C43,LEN(C43)-1))&gt;=总览!$L$7),总览!$M$7,IF(AND(总览!$J$7&lt;&gt;"",B43*100+VALUE(LEFT(C43,LEN(C43)-1))&gt;=总览!$J$7),总览!$K$7,IF(AND(总览!$H$7&lt;&gt;"",B43*100+VALUE(LEFT(C43,LEN(C43)-1))&gt;=总览!$H$7),总览!$I$7,IF(AND(总览!$F$7&lt;&gt;"",B43*100+VALUE(LEFT(C43,LEN(C43)-1))&gt;=总览!$F$7),总览!$G$7,IF(AND(总览!$D$7&lt;&gt;"",B43*100+VALUE(LEFT(C43,LEN(C43)-1))&gt;=总览!$D$7),总览!$E$7,总览!$B$7))))),0)</f>
        <v/>
      </c>
      <c r="F43" s="32">
        <f>ROUND(Q42*总览!$B$14/12,0)</f>
        <v/>
      </c>
      <c r="G43" s="32">
        <f>D43+E43+F43</f>
        <v/>
      </c>
      <c r="H43" s="32">
        <f>IF(OR(B43&gt;2027,AND(B43=2027,VALUE(LEFT(C43,LEN(C43)-1))&gt;=9)),IF(AND(总览!$L$10&lt;&gt;"",B43*100+VALUE(LEFT(C43,LEN(C43)-1))&gt;=总览!$L$10),总览!$M$10,IF(AND(总览!$J$10&lt;&gt;"",B43*100+VALUE(LEFT(C43,LEN(C43)-1))&gt;=总览!$J$10),总览!$K$10,IF(AND(总览!$H$10&lt;&gt;"",B43*100+VALUE(LEFT(C43,LEN(C43)-1))&gt;=总览!$H$10),总览!$I$10,IF(AND(总览!$F$10&lt;&gt;"",B43*100+VALUE(LEFT(C43,LEN(C43)-1))&gt;=总览!$F$10),总览!$G$10,IF(AND(总览!$D$10&lt;&gt;"",B43*100+VALUE(LEFT(C43,LEN(C43)-1))&gt;=总览!$D$10),总览!$E$10,总览!$B$10))))),IF(AND(总览!$L$9&lt;&gt;"",B43*100+VALUE(LEFT(C43,LEN(C43)-1))&gt;=总览!$L$9),总览!$M$9,IF(AND(总览!$J$9&lt;&gt;"",B43*100+VALUE(LEFT(C43,LEN(C43)-1))&gt;=总览!$J$9),总览!$K$9,IF(AND(总览!$H$9&lt;&gt;"",B43*100+VALUE(LEFT(C43,LEN(C43)-1))&gt;=总览!$H$9),总览!$I$9,IF(AND(总览!$F$9&lt;&gt;"",B43*100+VALUE(LEFT(C43,LEN(C43)-1))&gt;=总览!$F$9),总览!$G$9,IF(AND(总览!$D$9&lt;&gt;"",B43*100+VALUE(LEFT(C43,LEN(C43)-1))&gt;=总览!$D$9),总览!$E$9,总览!$B$9))))))</f>
        <v/>
      </c>
      <c r="I43" s="32">
        <f>IF(AND(总览!$L$11&lt;&gt;"",B43*100+VALUE(LEFT(C43,LEN(C43)-1))&gt;=总览!$L$11),总览!$M$11,IF(AND(总览!$J$11&lt;&gt;"",B43*100+VALUE(LEFT(C43,LEN(C43)-1))&gt;=总览!$J$11),总览!$K$11,IF(AND(总览!$H$11&lt;&gt;"",B43*100+VALUE(LEFT(C43,LEN(C43)-1))&gt;=总览!$H$11),总览!$I$11,IF(AND(总览!$F$11&lt;&gt;"",B43*100+VALUE(LEFT(C43,LEN(C43)-1))&gt;=总览!$F$11),总览!$G$11,IF(AND(总览!$D$11&lt;&gt;"",B43*100+VALUE(LEFT(C43,LEN(C43)-1))&gt;=总览!$D$11),总览!$E$11,总览!$B$11)))))</f>
        <v/>
      </c>
      <c r="J43" s="32">
        <f>IF(OR(B43&gt;2027,AND(B43=2027,VALUE(LEFT(C43,LEN(C43)-1))&gt;=9)),IF(AND(总览!$L$12&lt;&gt;"",B43*100+VALUE(LEFT(C43,LEN(C43)-1))&gt;=总览!$L$12),总览!$M$12,IF(AND(总览!$J$12&lt;&gt;"",B43*100+VALUE(LEFT(C43,LEN(C43)-1))&gt;=总览!$J$12),总览!$K$12,IF(AND(总览!$H$12&lt;&gt;"",B43*100+VALUE(LEFT(C43,LEN(C43)-1))&gt;=总览!$H$12),总览!$I$12,IF(AND(总览!$F$12&lt;&gt;"",B43*100+VALUE(LEFT(C43,LEN(C43)-1))&gt;=总览!$F$12),总览!$G$12,IF(AND(总览!$D$12&lt;&gt;"",B43*100+VALUE(LEFT(C43,LEN(C43)-1))&gt;=总览!$D$12),总览!$E$12,总览!$B$12))))),0)</f>
        <v/>
      </c>
      <c r="K43" s="32">
        <f>IF(AND(B43=2026,C43="5月"),120000,IF(AND(B43=2027,C43="9月"),30000,IF(C43="10月",IF(AND(总览!$L$13&lt;&gt;"",B43*100+VALUE(LEFT(C43,LEN(C43)-1))&gt;=总览!$L$13),总览!$M$13,IF(AND(总览!$J$13&lt;&gt;"",B43*100+VALUE(LEFT(C43,LEN(C43)-1))&gt;=总览!$J$13),总览!$K$13,IF(AND(总览!$H$13&lt;&gt;"",B43*100+VALUE(LEFT(C43,LEN(C43)-1))&gt;=总览!$H$13),总览!$I$13,IF(AND(总览!$F$13&lt;&gt;"",B43*100+VALUE(LEFT(C43,LEN(C43)-1))&gt;=总览!$F$13),总览!$G$13,IF(AND(总览!$D$13&lt;&gt;"",B43*100+VALUE(LEFT(C43,LEN(C43)-1))&gt;=总览!$D$13),总览!$E$13,总览!$B$13))))),0)))</f>
        <v/>
      </c>
      <c r="L43" s="31" t="inlineStr"/>
      <c r="M43" s="32">
        <f>IF(B43*100+VALUE(LEFT(C43,LEN(C43)-1))=总览!$B$18,总览!$B$23,0)</f>
        <v/>
      </c>
      <c r="N43" s="32">
        <f>IF(B43*100+VALUE(LEFT(C43,LEN(C43)-1))&gt;总览!$B$18,总览!$B$25,0)</f>
        <v/>
      </c>
      <c r="O43" s="32">
        <f>SUM(H43:J43)+K43+M43+N43</f>
        <v/>
      </c>
      <c r="P43" s="32">
        <f>G43-O43</f>
        <v/>
      </c>
      <c r="Q43" s="32">
        <f>Q42+P43</f>
        <v/>
      </c>
      <c r="R43" s="32">
        <f>IF(B43*100+VALUE(LEFT(C43,LEN(C43)-1))&lt;总览!$B$18,0,IF(B43*100+VALUE(LEFT(C43,LEN(C43)-1))=总览!$B$18,总览!$B$24,R42-(总览!$B$25-R42*总览!$B$22/12)))</f>
        <v/>
      </c>
    </row>
    <row r="44">
      <c r="A44" s="30" t="n">
        <v>43</v>
      </c>
      <c r="B44" s="30" t="n">
        <v>2029</v>
      </c>
      <c r="C44" s="30" t="inlineStr">
        <is>
          <t>8月</t>
        </is>
      </c>
      <c r="D44" s="11">
        <f>IF(AND(总览!$L$6&lt;&gt;"",B44*100+VALUE(LEFT(C44,LEN(C44)-1))&gt;=总览!$L$6),总览!$M$6,IF(AND(总览!$J$6&lt;&gt;"",B44*100+VALUE(LEFT(C44,LEN(C44)-1))&gt;=总览!$J$6),总览!$K$6,IF(AND(总览!$H$6&lt;&gt;"",B44*100+VALUE(LEFT(C44,LEN(C44)-1))&gt;=总览!$H$6),总览!$I$6,IF(AND(总览!$F$6&lt;&gt;"",B44*100+VALUE(LEFT(C44,LEN(C44)-1))&gt;=总览!$F$6),总览!$G$6,IF(AND(总览!$D$6&lt;&gt;"",B44*100+VALUE(LEFT(C44,LEN(C44)-1))&gt;=总览!$D$6),总览!$E$6,总览!$B$6)))))</f>
        <v/>
      </c>
      <c r="E44" s="11">
        <f>IF(C44="12月",IF(AND(总览!$L$7&lt;&gt;"",B44*100+VALUE(LEFT(C44,LEN(C44)-1))&gt;=总览!$L$7),总览!$M$7,IF(AND(总览!$J$7&lt;&gt;"",B44*100+VALUE(LEFT(C44,LEN(C44)-1))&gt;=总览!$J$7),总览!$K$7,IF(AND(总览!$H$7&lt;&gt;"",B44*100+VALUE(LEFT(C44,LEN(C44)-1))&gt;=总览!$H$7),总览!$I$7,IF(AND(总览!$F$7&lt;&gt;"",B44*100+VALUE(LEFT(C44,LEN(C44)-1))&gt;=总览!$F$7),总览!$G$7,IF(AND(总览!$D$7&lt;&gt;"",B44*100+VALUE(LEFT(C44,LEN(C44)-1))&gt;=总览!$D$7),总览!$E$7,总览!$B$7))))),0)</f>
        <v/>
      </c>
      <c r="F44" s="11">
        <f>ROUND(Q43*总览!$B$14/12,0)</f>
        <v/>
      </c>
      <c r="G44" s="11">
        <f>D44+E44+F44</f>
        <v/>
      </c>
      <c r="H44" s="11">
        <f>IF(OR(B44&gt;2027,AND(B44=2027,VALUE(LEFT(C44,LEN(C44)-1))&gt;=9)),IF(AND(总览!$L$10&lt;&gt;"",B44*100+VALUE(LEFT(C44,LEN(C44)-1))&gt;=总览!$L$10),总览!$M$10,IF(AND(总览!$J$10&lt;&gt;"",B44*100+VALUE(LEFT(C44,LEN(C44)-1))&gt;=总览!$J$10),总览!$K$10,IF(AND(总览!$H$10&lt;&gt;"",B44*100+VALUE(LEFT(C44,LEN(C44)-1))&gt;=总览!$H$10),总览!$I$10,IF(AND(总览!$F$10&lt;&gt;"",B44*100+VALUE(LEFT(C44,LEN(C44)-1))&gt;=总览!$F$10),总览!$G$10,IF(AND(总览!$D$10&lt;&gt;"",B44*100+VALUE(LEFT(C44,LEN(C44)-1))&gt;=总览!$D$10),总览!$E$10,总览!$B$10))))),IF(AND(总览!$L$9&lt;&gt;"",B44*100+VALUE(LEFT(C44,LEN(C44)-1))&gt;=总览!$L$9),总览!$M$9,IF(AND(总览!$J$9&lt;&gt;"",B44*100+VALUE(LEFT(C44,LEN(C44)-1))&gt;=总览!$J$9),总览!$K$9,IF(AND(总览!$H$9&lt;&gt;"",B44*100+VALUE(LEFT(C44,LEN(C44)-1))&gt;=总览!$H$9),总览!$I$9,IF(AND(总览!$F$9&lt;&gt;"",B44*100+VALUE(LEFT(C44,LEN(C44)-1))&gt;=总览!$F$9),总览!$G$9,IF(AND(总览!$D$9&lt;&gt;"",B44*100+VALUE(LEFT(C44,LEN(C44)-1))&gt;=总览!$D$9),总览!$E$9,总览!$B$9))))))</f>
        <v/>
      </c>
      <c r="I44" s="11">
        <f>IF(AND(总览!$L$11&lt;&gt;"",B44*100+VALUE(LEFT(C44,LEN(C44)-1))&gt;=总览!$L$11),总览!$M$11,IF(AND(总览!$J$11&lt;&gt;"",B44*100+VALUE(LEFT(C44,LEN(C44)-1))&gt;=总览!$J$11),总览!$K$11,IF(AND(总览!$H$11&lt;&gt;"",B44*100+VALUE(LEFT(C44,LEN(C44)-1))&gt;=总览!$H$11),总览!$I$11,IF(AND(总览!$F$11&lt;&gt;"",B44*100+VALUE(LEFT(C44,LEN(C44)-1))&gt;=总览!$F$11),总览!$G$11,IF(AND(总览!$D$11&lt;&gt;"",B44*100+VALUE(LEFT(C44,LEN(C44)-1))&gt;=总览!$D$11),总览!$E$11,总览!$B$11)))))</f>
        <v/>
      </c>
      <c r="J44" s="11">
        <f>IF(OR(B44&gt;2027,AND(B44=2027,VALUE(LEFT(C44,LEN(C44)-1))&gt;=9)),IF(AND(总览!$L$12&lt;&gt;"",B44*100+VALUE(LEFT(C44,LEN(C44)-1))&gt;=总览!$L$12),总览!$M$12,IF(AND(总览!$J$12&lt;&gt;"",B44*100+VALUE(LEFT(C44,LEN(C44)-1))&gt;=总览!$J$12),总览!$K$12,IF(AND(总览!$H$12&lt;&gt;"",B44*100+VALUE(LEFT(C44,LEN(C44)-1))&gt;=总览!$H$12),总览!$I$12,IF(AND(总览!$F$12&lt;&gt;"",B44*100+VALUE(LEFT(C44,LEN(C44)-1))&gt;=总览!$F$12),总览!$G$12,IF(AND(总览!$D$12&lt;&gt;"",B44*100+VALUE(LEFT(C44,LEN(C44)-1))&gt;=总览!$D$12),总览!$E$12,总览!$B$12))))),0)</f>
        <v/>
      </c>
      <c r="K44" s="11">
        <f>IF(AND(B44=2026,C44="5月"),120000,IF(AND(B44=2027,C44="9月"),30000,IF(C44="10月",IF(AND(总览!$L$13&lt;&gt;"",B44*100+VALUE(LEFT(C44,LEN(C44)-1))&gt;=总览!$L$13),总览!$M$13,IF(AND(总览!$J$13&lt;&gt;"",B44*100+VALUE(LEFT(C44,LEN(C44)-1))&gt;=总览!$J$13),总览!$K$13,IF(AND(总览!$H$13&lt;&gt;"",B44*100+VALUE(LEFT(C44,LEN(C44)-1))&gt;=总览!$H$13),总览!$I$13,IF(AND(总览!$F$13&lt;&gt;"",B44*100+VALUE(LEFT(C44,LEN(C44)-1))&gt;=总览!$F$13),总览!$G$13,IF(AND(总览!$D$13&lt;&gt;"",B44*100+VALUE(LEFT(C44,LEN(C44)-1))&gt;=总览!$D$13),总览!$E$13,总览!$B$13))))),0)))</f>
        <v/>
      </c>
      <c r="L44" s="30" t="inlineStr"/>
      <c r="M44" s="11">
        <f>IF(B44*100+VALUE(LEFT(C44,LEN(C44)-1))=总览!$B$18,总览!$B$23,0)</f>
        <v/>
      </c>
      <c r="N44" s="11">
        <f>IF(B44*100+VALUE(LEFT(C44,LEN(C44)-1))&gt;总览!$B$18,总览!$B$25,0)</f>
        <v/>
      </c>
      <c r="O44" s="11">
        <f>SUM(H44:J44)+K44+M44+N44</f>
        <v/>
      </c>
      <c r="P44" s="11">
        <f>G44-O44</f>
        <v/>
      </c>
      <c r="Q44" s="11">
        <f>Q43+P44</f>
        <v/>
      </c>
      <c r="R44" s="11">
        <f>IF(B44*100+VALUE(LEFT(C44,LEN(C44)-1))&lt;总览!$B$18,0,IF(B44*100+VALUE(LEFT(C44,LEN(C44)-1))=总览!$B$18,总览!$B$24,R43-(总览!$B$25-R43*总览!$B$22/12)))</f>
        <v/>
      </c>
    </row>
    <row r="45">
      <c r="A45" s="31" t="n">
        <v>44</v>
      </c>
      <c r="B45" s="31" t="n">
        <v>2029</v>
      </c>
      <c r="C45" s="31" t="inlineStr">
        <is>
          <t>9月</t>
        </is>
      </c>
      <c r="D45" s="32">
        <f>IF(AND(总览!$L$6&lt;&gt;"",B45*100+VALUE(LEFT(C45,LEN(C45)-1))&gt;=总览!$L$6),总览!$M$6,IF(AND(总览!$J$6&lt;&gt;"",B45*100+VALUE(LEFT(C45,LEN(C45)-1))&gt;=总览!$J$6),总览!$K$6,IF(AND(总览!$H$6&lt;&gt;"",B45*100+VALUE(LEFT(C45,LEN(C45)-1))&gt;=总览!$H$6),总览!$I$6,IF(AND(总览!$F$6&lt;&gt;"",B45*100+VALUE(LEFT(C45,LEN(C45)-1))&gt;=总览!$F$6),总览!$G$6,IF(AND(总览!$D$6&lt;&gt;"",B45*100+VALUE(LEFT(C45,LEN(C45)-1))&gt;=总览!$D$6),总览!$E$6,总览!$B$6)))))</f>
        <v/>
      </c>
      <c r="E45" s="32">
        <f>IF(C45="12月",IF(AND(总览!$L$7&lt;&gt;"",B45*100+VALUE(LEFT(C45,LEN(C45)-1))&gt;=总览!$L$7),总览!$M$7,IF(AND(总览!$J$7&lt;&gt;"",B45*100+VALUE(LEFT(C45,LEN(C45)-1))&gt;=总览!$J$7),总览!$K$7,IF(AND(总览!$H$7&lt;&gt;"",B45*100+VALUE(LEFT(C45,LEN(C45)-1))&gt;=总览!$H$7),总览!$I$7,IF(AND(总览!$F$7&lt;&gt;"",B45*100+VALUE(LEFT(C45,LEN(C45)-1))&gt;=总览!$F$7),总览!$G$7,IF(AND(总览!$D$7&lt;&gt;"",B45*100+VALUE(LEFT(C45,LEN(C45)-1))&gt;=总览!$D$7),总览!$E$7,总览!$B$7))))),0)</f>
        <v/>
      </c>
      <c r="F45" s="32">
        <f>ROUND(Q44*总览!$B$14/12,0)</f>
        <v/>
      </c>
      <c r="G45" s="32">
        <f>D45+E45+F45</f>
        <v/>
      </c>
      <c r="H45" s="32">
        <f>IF(OR(B45&gt;2027,AND(B45=2027,VALUE(LEFT(C45,LEN(C45)-1))&gt;=9)),IF(AND(总览!$L$10&lt;&gt;"",B45*100+VALUE(LEFT(C45,LEN(C45)-1))&gt;=总览!$L$10),总览!$M$10,IF(AND(总览!$J$10&lt;&gt;"",B45*100+VALUE(LEFT(C45,LEN(C45)-1))&gt;=总览!$J$10),总览!$K$10,IF(AND(总览!$H$10&lt;&gt;"",B45*100+VALUE(LEFT(C45,LEN(C45)-1))&gt;=总览!$H$10),总览!$I$10,IF(AND(总览!$F$10&lt;&gt;"",B45*100+VALUE(LEFT(C45,LEN(C45)-1))&gt;=总览!$F$10),总览!$G$10,IF(AND(总览!$D$10&lt;&gt;"",B45*100+VALUE(LEFT(C45,LEN(C45)-1))&gt;=总览!$D$10),总览!$E$10,总览!$B$10))))),IF(AND(总览!$L$9&lt;&gt;"",B45*100+VALUE(LEFT(C45,LEN(C45)-1))&gt;=总览!$L$9),总览!$M$9,IF(AND(总览!$J$9&lt;&gt;"",B45*100+VALUE(LEFT(C45,LEN(C45)-1))&gt;=总览!$J$9),总览!$K$9,IF(AND(总览!$H$9&lt;&gt;"",B45*100+VALUE(LEFT(C45,LEN(C45)-1))&gt;=总览!$H$9),总览!$I$9,IF(AND(总览!$F$9&lt;&gt;"",B45*100+VALUE(LEFT(C45,LEN(C45)-1))&gt;=总览!$F$9),总览!$G$9,IF(AND(总览!$D$9&lt;&gt;"",B45*100+VALUE(LEFT(C45,LEN(C45)-1))&gt;=总览!$D$9),总览!$E$9,总览!$B$9))))))</f>
        <v/>
      </c>
      <c r="I45" s="32">
        <f>IF(AND(总览!$L$11&lt;&gt;"",B45*100+VALUE(LEFT(C45,LEN(C45)-1))&gt;=总览!$L$11),总览!$M$11,IF(AND(总览!$J$11&lt;&gt;"",B45*100+VALUE(LEFT(C45,LEN(C45)-1))&gt;=总览!$J$11),总览!$K$11,IF(AND(总览!$H$11&lt;&gt;"",B45*100+VALUE(LEFT(C45,LEN(C45)-1))&gt;=总览!$H$11),总览!$I$11,IF(AND(总览!$F$11&lt;&gt;"",B45*100+VALUE(LEFT(C45,LEN(C45)-1))&gt;=总览!$F$11),总览!$G$11,IF(AND(总览!$D$11&lt;&gt;"",B45*100+VALUE(LEFT(C45,LEN(C45)-1))&gt;=总览!$D$11),总览!$E$11,总览!$B$11)))))</f>
        <v/>
      </c>
      <c r="J45" s="32">
        <f>IF(OR(B45&gt;2027,AND(B45=2027,VALUE(LEFT(C45,LEN(C45)-1))&gt;=9)),IF(AND(总览!$L$12&lt;&gt;"",B45*100+VALUE(LEFT(C45,LEN(C45)-1))&gt;=总览!$L$12),总览!$M$12,IF(AND(总览!$J$12&lt;&gt;"",B45*100+VALUE(LEFT(C45,LEN(C45)-1))&gt;=总览!$J$12),总览!$K$12,IF(AND(总览!$H$12&lt;&gt;"",B45*100+VALUE(LEFT(C45,LEN(C45)-1))&gt;=总览!$H$12),总览!$I$12,IF(AND(总览!$F$12&lt;&gt;"",B45*100+VALUE(LEFT(C45,LEN(C45)-1))&gt;=总览!$F$12),总览!$G$12,IF(AND(总览!$D$12&lt;&gt;"",B45*100+VALUE(LEFT(C45,LEN(C45)-1))&gt;=总览!$D$12),总览!$E$12,总览!$B$12))))),0)</f>
        <v/>
      </c>
      <c r="K45" s="32">
        <f>IF(AND(B45=2026,C45="5月"),120000,IF(AND(B45=2027,C45="9月"),30000,IF(C45="10月",IF(AND(总览!$L$13&lt;&gt;"",B45*100+VALUE(LEFT(C45,LEN(C45)-1))&gt;=总览!$L$13),总览!$M$13,IF(AND(总览!$J$13&lt;&gt;"",B45*100+VALUE(LEFT(C45,LEN(C45)-1))&gt;=总览!$J$13),总览!$K$13,IF(AND(总览!$H$13&lt;&gt;"",B45*100+VALUE(LEFT(C45,LEN(C45)-1))&gt;=总览!$H$13),总览!$I$13,IF(AND(总览!$F$13&lt;&gt;"",B45*100+VALUE(LEFT(C45,LEN(C45)-1))&gt;=总览!$F$13),总览!$G$13,IF(AND(总览!$D$13&lt;&gt;"",B45*100+VALUE(LEFT(C45,LEN(C45)-1))&gt;=总览!$D$13),总览!$E$13,总览!$B$13))))),0)))</f>
        <v/>
      </c>
      <c r="L45" s="31" t="inlineStr"/>
      <c r="M45" s="32">
        <f>IF(B45*100+VALUE(LEFT(C45,LEN(C45)-1))=总览!$B$18,总览!$B$23,0)</f>
        <v/>
      </c>
      <c r="N45" s="32">
        <f>IF(B45*100+VALUE(LEFT(C45,LEN(C45)-1))&gt;总览!$B$18,总览!$B$25,0)</f>
        <v/>
      </c>
      <c r="O45" s="32">
        <f>SUM(H45:J45)+K45+M45+N45</f>
        <v/>
      </c>
      <c r="P45" s="32">
        <f>G45-O45</f>
        <v/>
      </c>
      <c r="Q45" s="32">
        <f>Q44+P45</f>
        <v/>
      </c>
      <c r="R45" s="32">
        <f>IF(B45*100+VALUE(LEFT(C45,LEN(C45)-1))&lt;总览!$B$18,0,IF(B45*100+VALUE(LEFT(C45,LEN(C45)-1))=总览!$B$18,总览!$B$24,R44-(总览!$B$25-R44*总览!$B$22/12)))</f>
        <v/>
      </c>
    </row>
    <row r="46">
      <c r="A46" s="33" t="n">
        <v>45</v>
      </c>
      <c r="B46" s="33" t="n">
        <v>2029</v>
      </c>
      <c r="C46" s="33" t="inlineStr">
        <is>
          <t>10月</t>
        </is>
      </c>
      <c r="D46" s="34">
        <f>IF(AND(总览!$L$6&lt;&gt;"",B46*100+VALUE(LEFT(C46,LEN(C46)-1))&gt;=总览!$L$6),总览!$M$6,IF(AND(总览!$J$6&lt;&gt;"",B46*100+VALUE(LEFT(C46,LEN(C46)-1))&gt;=总览!$J$6),总览!$K$6,IF(AND(总览!$H$6&lt;&gt;"",B46*100+VALUE(LEFT(C46,LEN(C46)-1))&gt;=总览!$H$6),总览!$I$6,IF(AND(总览!$F$6&lt;&gt;"",B46*100+VALUE(LEFT(C46,LEN(C46)-1))&gt;=总览!$F$6),总览!$G$6,IF(AND(总览!$D$6&lt;&gt;"",B46*100+VALUE(LEFT(C46,LEN(C46)-1))&gt;=总览!$D$6),总览!$E$6,总览!$B$6)))))</f>
        <v/>
      </c>
      <c r="E46" s="34">
        <f>IF(C46="12月",IF(AND(总览!$L$7&lt;&gt;"",B46*100+VALUE(LEFT(C46,LEN(C46)-1))&gt;=总览!$L$7),总览!$M$7,IF(AND(总览!$J$7&lt;&gt;"",B46*100+VALUE(LEFT(C46,LEN(C46)-1))&gt;=总览!$J$7),总览!$K$7,IF(AND(总览!$H$7&lt;&gt;"",B46*100+VALUE(LEFT(C46,LEN(C46)-1))&gt;=总览!$H$7),总览!$I$7,IF(AND(总览!$F$7&lt;&gt;"",B46*100+VALUE(LEFT(C46,LEN(C46)-1))&gt;=总览!$F$7),总览!$G$7,IF(AND(总览!$D$7&lt;&gt;"",B46*100+VALUE(LEFT(C46,LEN(C46)-1))&gt;=总览!$D$7),总览!$E$7,总览!$B$7))))),0)</f>
        <v/>
      </c>
      <c r="F46" s="34">
        <f>ROUND(Q45*总览!$B$14/12,0)</f>
        <v/>
      </c>
      <c r="G46" s="34">
        <f>D46+E46+F46</f>
        <v/>
      </c>
      <c r="H46" s="34">
        <f>IF(OR(B46&gt;2027,AND(B46=2027,VALUE(LEFT(C46,LEN(C46)-1))&gt;=9)),IF(AND(总览!$L$10&lt;&gt;"",B46*100+VALUE(LEFT(C46,LEN(C46)-1))&gt;=总览!$L$10),总览!$M$10,IF(AND(总览!$J$10&lt;&gt;"",B46*100+VALUE(LEFT(C46,LEN(C46)-1))&gt;=总览!$J$10),总览!$K$10,IF(AND(总览!$H$10&lt;&gt;"",B46*100+VALUE(LEFT(C46,LEN(C46)-1))&gt;=总览!$H$10),总览!$I$10,IF(AND(总览!$F$10&lt;&gt;"",B46*100+VALUE(LEFT(C46,LEN(C46)-1))&gt;=总览!$F$10),总览!$G$10,IF(AND(总览!$D$10&lt;&gt;"",B46*100+VALUE(LEFT(C46,LEN(C46)-1))&gt;=总览!$D$10),总览!$E$10,总览!$B$10))))),IF(AND(总览!$L$9&lt;&gt;"",B46*100+VALUE(LEFT(C46,LEN(C46)-1))&gt;=总览!$L$9),总览!$M$9,IF(AND(总览!$J$9&lt;&gt;"",B46*100+VALUE(LEFT(C46,LEN(C46)-1))&gt;=总览!$J$9),总览!$K$9,IF(AND(总览!$H$9&lt;&gt;"",B46*100+VALUE(LEFT(C46,LEN(C46)-1))&gt;=总览!$H$9),总览!$I$9,IF(AND(总览!$F$9&lt;&gt;"",B46*100+VALUE(LEFT(C46,LEN(C46)-1))&gt;=总览!$F$9),总览!$G$9,IF(AND(总览!$D$9&lt;&gt;"",B46*100+VALUE(LEFT(C46,LEN(C46)-1))&gt;=总览!$D$9),总览!$E$9,总览!$B$9))))))</f>
        <v/>
      </c>
      <c r="I46" s="34">
        <f>IF(AND(总览!$L$11&lt;&gt;"",B46*100+VALUE(LEFT(C46,LEN(C46)-1))&gt;=总览!$L$11),总览!$M$11,IF(AND(总览!$J$11&lt;&gt;"",B46*100+VALUE(LEFT(C46,LEN(C46)-1))&gt;=总览!$J$11),总览!$K$11,IF(AND(总览!$H$11&lt;&gt;"",B46*100+VALUE(LEFT(C46,LEN(C46)-1))&gt;=总览!$H$11),总览!$I$11,IF(AND(总览!$F$11&lt;&gt;"",B46*100+VALUE(LEFT(C46,LEN(C46)-1))&gt;=总览!$F$11),总览!$G$11,IF(AND(总览!$D$11&lt;&gt;"",B46*100+VALUE(LEFT(C46,LEN(C46)-1))&gt;=总览!$D$11),总览!$E$11,总览!$B$11)))))</f>
        <v/>
      </c>
      <c r="J46" s="34">
        <f>IF(OR(B46&gt;2027,AND(B46=2027,VALUE(LEFT(C46,LEN(C46)-1))&gt;=9)),IF(AND(总览!$L$12&lt;&gt;"",B46*100+VALUE(LEFT(C46,LEN(C46)-1))&gt;=总览!$L$12),总览!$M$12,IF(AND(总览!$J$12&lt;&gt;"",B46*100+VALUE(LEFT(C46,LEN(C46)-1))&gt;=总览!$J$12),总览!$K$12,IF(AND(总览!$H$12&lt;&gt;"",B46*100+VALUE(LEFT(C46,LEN(C46)-1))&gt;=总览!$H$12),总览!$I$12,IF(AND(总览!$F$12&lt;&gt;"",B46*100+VALUE(LEFT(C46,LEN(C46)-1))&gt;=总览!$F$12),总览!$G$12,IF(AND(总览!$D$12&lt;&gt;"",B46*100+VALUE(LEFT(C46,LEN(C46)-1))&gt;=总览!$D$12),总览!$E$12,总览!$B$12))))),0)</f>
        <v/>
      </c>
      <c r="K46" s="34">
        <f>IF(AND(B46=2026,C46="5月"),120000,IF(AND(B46=2027,C46="9月"),30000,IF(C46="10月",IF(AND(总览!$L$13&lt;&gt;"",B46*100+VALUE(LEFT(C46,LEN(C46)-1))&gt;=总览!$L$13),总览!$M$13,IF(AND(总览!$J$13&lt;&gt;"",B46*100+VALUE(LEFT(C46,LEN(C46)-1))&gt;=总览!$J$13),总览!$K$13,IF(AND(总览!$H$13&lt;&gt;"",B46*100+VALUE(LEFT(C46,LEN(C46)-1))&gt;=总览!$H$13),总览!$I$13,IF(AND(总览!$F$13&lt;&gt;"",B46*100+VALUE(LEFT(C46,LEN(C46)-1))&gt;=总览!$F$13),总览!$G$13,IF(AND(总览!$D$13&lt;&gt;"",B46*100+VALUE(LEFT(C46,LEN(C46)-1))&gt;=总览!$D$13),总览!$E$13,总览!$B$13))))),0)))</f>
        <v/>
      </c>
      <c r="L46" s="33" t="inlineStr">
        <is>
          <t>年度旅游</t>
        </is>
      </c>
      <c r="M46" s="34">
        <f>IF(B46*100+VALUE(LEFT(C46,LEN(C46)-1))=总览!$B$18,总览!$B$23,0)</f>
        <v/>
      </c>
      <c r="N46" s="34">
        <f>IF(B46*100+VALUE(LEFT(C46,LEN(C46)-1))&gt;总览!$B$18,总览!$B$25,0)</f>
        <v/>
      </c>
      <c r="O46" s="34">
        <f>SUM(H46:J46)+K46+M46+N46</f>
        <v/>
      </c>
      <c r="P46" s="34">
        <f>G46-O46</f>
        <v/>
      </c>
      <c r="Q46" s="34">
        <f>Q45+P46</f>
        <v/>
      </c>
      <c r="R46" s="34">
        <f>IF(B46*100+VALUE(LEFT(C46,LEN(C46)-1))&lt;总览!$B$18,0,IF(B46*100+VALUE(LEFT(C46,LEN(C46)-1))=总览!$B$18,总览!$B$24,R45-(总览!$B$25-R45*总览!$B$22/12)))</f>
        <v/>
      </c>
    </row>
    <row r="47">
      <c r="A47" s="31" t="n">
        <v>46</v>
      </c>
      <c r="B47" s="31" t="n">
        <v>2029</v>
      </c>
      <c r="C47" s="31" t="inlineStr">
        <is>
          <t>11月</t>
        </is>
      </c>
      <c r="D47" s="32">
        <f>IF(AND(总览!$L$6&lt;&gt;"",B47*100+VALUE(LEFT(C47,LEN(C47)-1))&gt;=总览!$L$6),总览!$M$6,IF(AND(总览!$J$6&lt;&gt;"",B47*100+VALUE(LEFT(C47,LEN(C47)-1))&gt;=总览!$J$6),总览!$K$6,IF(AND(总览!$H$6&lt;&gt;"",B47*100+VALUE(LEFT(C47,LEN(C47)-1))&gt;=总览!$H$6),总览!$I$6,IF(AND(总览!$F$6&lt;&gt;"",B47*100+VALUE(LEFT(C47,LEN(C47)-1))&gt;=总览!$F$6),总览!$G$6,IF(AND(总览!$D$6&lt;&gt;"",B47*100+VALUE(LEFT(C47,LEN(C47)-1))&gt;=总览!$D$6),总览!$E$6,总览!$B$6)))))</f>
        <v/>
      </c>
      <c r="E47" s="32">
        <f>IF(C47="12月",IF(AND(总览!$L$7&lt;&gt;"",B47*100+VALUE(LEFT(C47,LEN(C47)-1))&gt;=总览!$L$7),总览!$M$7,IF(AND(总览!$J$7&lt;&gt;"",B47*100+VALUE(LEFT(C47,LEN(C47)-1))&gt;=总览!$J$7),总览!$K$7,IF(AND(总览!$H$7&lt;&gt;"",B47*100+VALUE(LEFT(C47,LEN(C47)-1))&gt;=总览!$H$7),总览!$I$7,IF(AND(总览!$F$7&lt;&gt;"",B47*100+VALUE(LEFT(C47,LEN(C47)-1))&gt;=总览!$F$7),总览!$G$7,IF(AND(总览!$D$7&lt;&gt;"",B47*100+VALUE(LEFT(C47,LEN(C47)-1))&gt;=总览!$D$7),总览!$E$7,总览!$B$7))))),0)</f>
        <v/>
      </c>
      <c r="F47" s="32">
        <f>ROUND(Q46*总览!$B$14/12,0)</f>
        <v/>
      </c>
      <c r="G47" s="32">
        <f>D47+E47+F47</f>
        <v/>
      </c>
      <c r="H47" s="32">
        <f>IF(OR(B47&gt;2027,AND(B47=2027,VALUE(LEFT(C47,LEN(C47)-1))&gt;=9)),IF(AND(总览!$L$10&lt;&gt;"",B47*100+VALUE(LEFT(C47,LEN(C47)-1))&gt;=总览!$L$10),总览!$M$10,IF(AND(总览!$J$10&lt;&gt;"",B47*100+VALUE(LEFT(C47,LEN(C47)-1))&gt;=总览!$J$10),总览!$K$10,IF(AND(总览!$H$10&lt;&gt;"",B47*100+VALUE(LEFT(C47,LEN(C47)-1))&gt;=总览!$H$10),总览!$I$10,IF(AND(总览!$F$10&lt;&gt;"",B47*100+VALUE(LEFT(C47,LEN(C47)-1))&gt;=总览!$F$10),总览!$G$10,IF(AND(总览!$D$10&lt;&gt;"",B47*100+VALUE(LEFT(C47,LEN(C47)-1))&gt;=总览!$D$10),总览!$E$10,总览!$B$10))))),IF(AND(总览!$L$9&lt;&gt;"",B47*100+VALUE(LEFT(C47,LEN(C47)-1))&gt;=总览!$L$9),总览!$M$9,IF(AND(总览!$J$9&lt;&gt;"",B47*100+VALUE(LEFT(C47,LEN(C47)-1))&gt;=总览!$J$9),总览!$K$9,IF(AND(总览!$H$9&lt;&gt;"",B47*100+VALUE(LEFT(C47,LEN(C47)-1))&gt;=总览!$H$9),总览!$I$9,IF(AND(总览!$F$9&lt;&gt;"",B47*100+VALUE(LEFT(C47,LEN(C47)-1))&gt;=总览!$F$9),总览!$G$9,IF(AND(总览!$D$9&lt;&gt;"",B47*100+VALUE(LEFT(C47,LEN(C47)-1))&gt;=总览!$D$9),总览!$E$9,总览!$B$9))))))</f>
        <v/>
      </c>
      <c r="I47" s="32">
        <f>IF(AND(总览!$L$11&lt;&gt;"",B47*100+VALUE(LEFT(C47,LEN(C47)-1))&gt;=总览!$L$11),总览!$M$11,IF(AND(总览!$J$11&lt;&gt;"",B47*100+VALUE(LEFT(C47,LEN(C47)-1))&gt;=总览!$J$11),总览!$K$11,IF(AND(总览!$H$11&lt;&gt;"",B47*100+VALUE(LEFT(C47,LEN(C47)-1))&gt;=总览!$H$11),总览!$I$11,IF(AND(总览!$F$11&lt;&gt;"",B47*100+VALUE(LEFT(C47,LEN(C47)-1))&gt;=总览!$F$11),总览!$G$11,IF(AND(总览!$D$11&lt;&gt;"",B47*100+VALUE(LEFT(C47,LEN(C47)-1))&gt;=总览!$D$11),总览!$E$11,总览!$B$11)))))</f>
        <v/>
      </c>
      <c r="J47" s="32">
        <f>IF(OR(B47&gt;2027,AND(B47=2027,VALUE(LEFT(C47,LEN(C47)-1))&gt;=9)),IF(AND(总览!$L$12&lt;&gt;"",B47*100+VALUE(LEFT(C47,LEN(C47)-1))&gt;=总览!$L$12),总览!$M$12,IF(AND(总览!$J$12&lt;&gt;"",B47*100+VALUE(LEFT(C47,LEN(C47)-1))&gt;=总览!$J$12),总览!$K$12,IF(AND(总览!$H$12&lt;&gt;"",B47*100+VALUE(LEFT(C47,LEN(C47)-1))&gt;=总览!$H$12),总览!$I$12,IF(AND(总览!$F$12&lt;&gt;"",B47*100+VALUE(LEFT(C47,LEN(C47)-1))&gt;=总览!$F$12),总览!$G$12,IF(AND(总览!$D$12&lt;&gt;"",B47*100+VALUE(LEFT(C47,LEN(C47)-1))&gt;=总览!$D$12),总览!$E$12,总览!$B$12))))),0)</f>
        <v/>
      </c>
      <c r="K47" s="32">
        <f>IF(AND(B47=2026,C47="5月"),120000,IF(AND(B47=2027,C47="9月"),30000,IF(C47="10月",IF(AND(总览!$L$13&lt;&gt;"",B47*100+VALUE(LEFT(C47,LEN(C47)-1))&gt;=总览!$L$13),总览!$M$13,IF(AND(总览!$J$13&lt;&gt;"",B47*100+VALUE(LEFT(C47,LEN(C47)-1))&gt;=总览!$J$13),总览!$K$13,IF(AND(总览!$H$13&lt;&gt;"",B47*100+VALUE(LEFT(C47,LEN(C47)-1))&gt;=总览!$H$13),总览!$I$13,IF(AND(总览!$F$13&lt;&gt;"",B47*100+VALUE(LEFT(C47,LEN(C47)-1))&gt;=总览!$F$13),总览!$G$13,IF(AND(总览!$D$13&lt;&gt;"",B47*100+VALUE(LEFT(C47,LEN(C47)-1))&gt;=总览!$D$13),总览!$E$13,总览!$B$13))))),0)))</f>
        <v/>
      </c>
      <c r="L47" s="31" t="inlineStr"/>
      <c r="M47" s="32">
        <f>IF(B47*100+VALUE(LEFT(C47,LEN(C47)-1))=总览!$B$18,总览!$B$23,0)</f>
        <v/>
      </c>
      <c r="N47" s="32">
        <f>IF(B47*100+VALUE(LEFT(C47,LEN(C47)-1))&gt;总览!$B$18,总览!$B$25,0)</f>
        <v/>
      </c>
      <c r="O47" s="32">
        <f>SUM(H47:J47)+K47+M47+N47</f>
        <v/>
      </c>
      <c r="P47" s="32">
        <f>G47-O47</f>
        <v/>
      </c>
      <c r="Q47" s="32">
        <f>Q46+P47</f>
        <v/>
      </c>
      <c r="R47" s="32">
        <f>IF(B47*100+VALUE(LEFT(C47,LEN(C47)-1))&lt;总览!$B$18,0,IF(B47*100+VALUE(LEFT(C47,LEN(C47)-1))=总览!$B$18,总览!$B$24,R46-(总览!$B$25-R46*总览!$B$22/12)))</f>
        <v/>
      </c>
    </row>
    <row r="48">
      <c r="A48" s="35" t="n">
        <v>47</v>
      </c>
      <c r="B48" s="35" t="n">
        <v>2029</v>
      </c>
      <c r="C48" s="35" t="inlineStr">
        <is>
          <t>12月</t>
        </is>
      </c>
      <c r="D48" s="36">
        <f>IF(AND(总览!$L$6&lt;&gt;"",B48*100+VALUE(LEFT(C48,LEN(C48)-1))&gt;=总览!$L$6),总览!$M$6,IF(AND(总览!$J$6&lt;&gt;"",B48*100+VALUE(LEFT(C48,LEN(C48)-1))&gt;=总览!$J$6),总览!$K$6,IF(AND(总览!$H$6&lt;&gt;"",B48*100+VALUE(LEFT(C48,LEN(C48)-1))&gt;=总览!$H$6),总览!$I$6,IF(AND(总览!$F$6&lt;&gt;"",B48*100+VALUE(LEFT(C48,LEN(C48)-1))&gt;=总览!$F$6),总览!$G$6,IF(AND(总览!$D$6&lt;&gt;"",B48*100+VALUE(LEFT(C48,LEN(C48)-1))&gt;=总览!$D$6),总览!$E$6,总览!$B$6)))))</f>
        <v/>
      </c>
      <c r="E48" s="36">
        <f>IF(C48="12月",IF(AND(总览!$L$7&lt;&gt;"",B48*100+VALUE(LEFT(C48,LEN(C48)-1))&gt;=总览!$L$7),总览!$M$7,IF(AND(总览!$J$7&lt;&gt;"",B48*100+VALUE(LEFT(C48,LEN(C48)-1))&gt;=总览!$J$7),总览!$K$7,IF(AND(总览!$H$7&lt;&gt;"",B48*100+VALUE(LEFT(C48,LEN(C48)-1))&gt;=总览!$H$7),总览!$I$7,IF(AND(总览!$F$7&lt;&gt;"",B48*100+VALUE(LEFT(C48,LEN(C48)-1))&gt;=总览!$F$7),总览!$G$7,IF(AND(总览!$D$7&lt;&gt;"",B48*100+VALUE(LEFT(C48,LEN(C48)-1))&gt;=总览!$D$7),总览!$E$7,总览!$B$7))))),0)</f>
        <v/>
      </c>
      <c r="F48" s="36">
        <f>ROUND(Q47*总览!$B$14/12,0)</f>
        <v/>
      </c>
      <c r="G48" s="36">
        <f>D48+E48+F48</f>
        <v/>
      </c>
      <c r="H48" s="36">
        <f>IF(OR(B48&gt;2027,AND(B48=2027,VALUE(LEFT(C48,LEN(C48)-1))&gt;=9)),IF(AND(总览!$L$10&lt;&gt;"",B48*100+VALUE(LEFT(C48,LEN(C48)-1))&gt;=总览!$L$10),总览!$M$10,IF(AND(总览!$J$10&lt;&gt;"",B48*100+VALUE(LEFT(C48,LEN(C48)-1))&gt;=总览!$J$10),总览!$K$10,IF(AND(总览!$H$10&lt;&gt;"",B48*100+VALUE(LEFT(C48,LEN(C48)-1))&gt;=总览!$H$10),总览!$I$10,IF(AND(总览!$F$10&lt;&gt;"",B48*100+VALUE(LEFT(C48,LEN(C48)-1))&gt;=总览!$F$10),总览!$G$10,IF(AND(总览!$D$10&lt;&gt;"",B48*100+VALUE(LEFT(C48,LEN(C48)-1))&gt;=总览!$D$10),总览!$E$10,总览!$B$10))))),IF(AND(总览!$L$9&lt;&gt;"",B48*100+VALUE(LEFT(C48,LEN(C48)-1))&gt;=总览!$L$9),总览!$M$9,IF(AND(总览!$J$9&lt;&gt;"",B48*100+VALUE(LEFT(C48,LEN(C48)-1))&gt;=总览!$J$9),总览!$K$9,IF(AND(总览!$H$9&lt;&gt;"",B48*100+VALUE(LEFT(C48,LEN(C48)-1))&gt;=总览!$H$9),总览!$I$9,IF(AND(总览!$F$9&lt;&gt;"",B48*100+VALUE(LEFT(C48,LEN(C48)-1))&gt;=总览!$F$9),总览!$G$9,IF(AND(总览!$D$9&lt;&gt;"",B48*100+VALUE(LEFT(C48,LEN(C48)-1))&gt;=总览!$D$9),总览!$E$9,总览!$B$9))))))</f>
        <v/>
      </c>
      <c r="I48" s="36">
        <f>IF(AND(总览!$L$11&lt;&gt;"",B48*100+VALUE(LEFT(C48,LEN(C48)-1))&gt;=总览!$L$11),总览!$M$11,IF(AND(总览!$J$11&lt;&gt;"",B48*100+VALUE(LEFT(C48,LEN(C48)-1))&gt;=总览!$J$11),总览!$K$11,IF(AND(总览!$H$11&lt;&gt;"",B48*100+VALUE(LEFT(C48,LEN(C48)-1))&gt;=总览!$H$11),总览!$I$11,IF(AND(总览!$F$11&lt;&gt;"",B48*100+VALUE(LEFT(C48,LEN(C48)-1))&gt;=总览!$F$11),总览!$G$11,IF(AND(总览!$D$11&lt;&gt;"",B48*100+VALUE(LEFT(C48,LEN(C48)-1))&gt;=总览!$D$11),总览!$E$11,总览!$B$11)))))</f>
        <v/>
      </c>
      <c r="J48" s="36">
        <f>IF(OR(B48&gt;2027,AND(B48=2027,VALUE(LEFT(C48,LEN(C48)-1))&gt;=9)),IF(AND(总览!$L$12&lt;&gt;"",B48*100+VALUE(LEFT(C48,LEN(C48)-1))&gt;=总览!$L$12),总览!$M$12,IF(AND(总览!$J$12&lt;&gt;"",B48*100+VALUE(LEFT(C48,LEN(C48)-1))&gt;=总览!$J$12),总览!$K$12,IF(AND(总览!$H$12&lt;&gt;"",B48*100+VALUE(LEFT(C48,LEN(C48)-1))&gt;=总览!$H$12),总览!$I$12,IF(AND(总览!$F$12&lt;&gt;"",B48*100+VALUE(LEFT(C48,LEN(C48)-1))&gt;=总览!$F$12),总览!$G$12,IF(AND(总览!$D$12&lt;&gt;"",B48*100+VALUE(LEFT(C48,LEN(C48)-1))&gt;=总览!$D$12),总览!$E$12,总览!$B$12))))),0)</f>
        <v/>
      </c>
      <c r="K48" s="36">
        <f>IF(AND(B48=2026,C48="5月"),120000,IF(AND(B48=2027,C48="9月"),30000,IF(C48="10月",IF(AND(总览!$L$13&lt;&gt;"",B48*100+VALUE(LEFT(C48,LEN(C48)-1))&gt;=总览!$L$13),总览!$M$13,IF(AND(总览!$J$13&lt;&gt;"",B48*100+VALUE(LEFT(C48,LEN(C48)-1))&gt;=总览!$J$13),总览!$K$13,IF(AND(总览!$H$13&lt;&gt;"",B48*100+VALUE(LEFT(C48,LEN(C48)-1))&gt;=总览!$H$13),总览!$I$13,IF(AND(总览!$F$13&lt;&gt;"",B48*100+VALUE(LEFT(C48,LEN(C48)-1))&gt;=总览!$F$13),总览!$G$13,IF(AND(总览!$D$13&lt;&gt;"",B48*100+VALUE(LEFT(C48,LEN(C48)-1))&gt;=总览!$D$13),总览!$E$13,总览!$B$13))))),0)))</f>
        <v/>
      </c>
      <c r="L48" s="35" t="inlineStr"/>
      <c r="M48" s="36">
        <f>IF(B48*100+VALUE(LEFT(C48,LEN(C48)-1))=总览!$B$18,总览!$B$23,0)</f>
        <v/>
      </c>
      <c r="N48" s="36">
        <f>IF(B48*100+VALUE(LEFT(C48,LEN(C48)-1))&gt;总览!$B$18,总览!$B$25,0)</f>
        <v/>
      </c>
      <c r="O48" s="36">
        <f>SUM(H48:J48)+K48+M48+N48</f>
        <v/>
      </c>
      <c r="P48" s="36">
        <f>G48-O48</f>
        <v/>
      </c>
      <c r="Q48" s="36">
        <f>Q47+P48</f>
        <v/>
      </c>
      <c r="R48" s="36">
        <f>IF(B48*100+VALUE(LEFT(C48,LEN(C48)-1))&lt;总览!$B$18,0,IF(B48*100+VALUE(LEFT(C48,LEN(C48)-1))=总览!$B$18,总览!$B$24,R47-(总览!$B$25-R47*总览!$B$22/12)))</f>
        <v/>
      </c>
    </row>
    <row r="49">
      <c r="A49" s="31" t="n">
        <v>48</v>
      </c>
      <c r="B49" s="31" t="n">
        <v>2030</v>
      </c>
      <c r="C49" s="31" t="inlineStr">
        <is>
          <t>1月</t>
        </is>
      </c>
      <c r="D49" s="32">
        <f>IF(AND(总览!$L$6&lt;&gt;"",B49*100+VALUE(LEFT(C49,LEN(C49)-1))&gt;=总览!$L$6),总览!$M$6,IF(AND(总览!$J$6&lt;&gt;"",B49*100+VALUE(LEFT(C49,LEN(C49)-1))&gt;=总览!$J$6),总览!$K$6,IF(AND(总览!$H$6&lt;&gt;"",B49*100+VALUE(LEFT(C49,LEN(C49)-1))&gt;=总览!$H$6),总览!$I$6,IF(AND(总览!$F$6&lt;&gt;"",B49*100+VALUE(LEFT(C49,LEN(C49)-1))&gt;=总览!$F$6),总览!$G$6,IF(AND(总览!$D$6&lt;&gt;"",B49*100+VALUE(LEFT(C49,LEN(C49)-1))&gt;=总览!$D$6),总览!$E$6,总览!$B$6)))))</f>
        <v/>
      </c>
      <c r="E49" s="32">
        <f>IF(C49="12月",IF(AND(总览!$L$7&lt;&gt;"",B49*100+VALUE(LEFT(C49,LEN(C49)-1))&gt;=总览!$L$7),总览!$M$7,IF(AND(总览!$J$7&lt;&gt;"",B49*100+VALUE(LEFT(C49,LEN(C49)-1))&gt;=总览!$J$7),总览!$K$7,IF(AND(总览!$H$7&lt;&gt;"",B49*100+VALUE(LEFT(C49,LEN(C49)-1))&gt;=总览!$H$7),总览!$I$7,IF(AND(总览!$F$7&lt;&gt;"",B49*100+VALUE(LEFT(C49,LEN(C49)-1))&gt;=总览!$F$7),总览!$G$7,IF(AND(总览!$D$7&lt;&gt;"",B49*100+VALUE(LEFT(C49,LEN(C49)-1))&gt;=总览!$D$7),总览!$E$7,总览!$B$7))))),0)</f>
        <v/>
      </c>
      <c r="F49" s="32">
        <f>ROUND(Q48*总览!$B$14/12,0)</f>
        <v/>
      </c>
      <c r="G49" s="32">
        <f>D49+E49+F49</f>
        <v/>
      </c>
      <c r="H49" s="32">
        <f>IF(OR(B49&gt;2027,AND(B49=2027,VALUE(LEFT(C49,LEN(C49)-1))&gt;=9)),IF(AND(总览!$L$10&lt;&gt;"",B49*100+VALUE(LEFT(C49,LEN(C49)-1))&gt;=总览!$L$10),总览!$M$10,IF(AND(总览!$J$10&lt;&gt;"",B49*100+VALUE(LEFT(C49,LEN(C49)-1))&gt;=总览!$J$10),总览!$K$10,IF(AND(总览!$H$10&lt;&gt;"",B49*100+VALUE(LEFT(C49,LEN(C49)-1))&gt;=总览!$H$10),总览!$I$10,IF(AND(总览!$F$10&lt;&gt;"",B49*100+VALUE(LEFT(C49,LEN(C49)-1))&gt;=总览!$F$10),总览!$G$10,IF(AND(总览!$D$10&lt;&gt;"",B49*100+VALUE(LEFT(C49,LEN(C49)-1))&gt;=总览!$D$10),总览!$E$10,总览!$B$10))))),IF(AND(总览!$L$9&lt;&gt;"",B49*100+VALUE(LEFT(C49,LEN(C49)-1))&gt;=总览!$L$9),总览!$M$9,IF(AND(总览!$J$9&lt;&gt;"",B49*100+VALUE(LEFT(C49,LEN(C49)-1))&gt;=总览!$J$9),总览!$K$9,IF(AND(总览!$H$9&lt;&gt;"",B49*100+VALUE(LEFT(C49,LEN(C49)-1))&gt;=总览!$H$9),总览!$I$9,IF(AND(总览!$F$9&lt;&gt;"",B49*100+VALUE(LEFT(C49,LEN(C49)-1))&gt;=总览!$F$9),总览!$G$9,IF(AND(总览!$D$9&lt;&gt;"",B49*100+VALUE(LEFT(C49,LEN(C49)-1))&gt;=总览!$D$9),总览!$E$9,总览!$B$9))))))</f>
        <v/>
      </c>
      <c r="I49" s="32">
        <f>IF(AND(总览!$L$11&lt;&gt;"",B49*100+VALUE(LEFT(C49,LEN(C49)-1))&gt;=总览!$L$11),总览!$M$11,IF(AND(总览!$J$11&lt;&gt;"",B49*100+VALUE(LEFT(C49,LEN(C49)-1))&gt;=总览!$J$11),总览!$K$11,IF(AND(总览!$H$11&lt;&gt;"",B49*100+VALUE(LEFT(C49,LEN(C49)-1))&gt;=总览!$H$11),总览!$I$11,IF(AND(总览!$F$11&lt;&gt;"",B49*100+VALUE(LEFT(C49,LEN(C49)-1))&gt;=总览!$F$11),总览!$G$11,IF(AND(总览!$D$11&lt;&gt;"",B49*100+VALUE(LEFT(C49,LEN(C49)-1))&gt;=总览!$D$11),总览!$E$11,总览!$B$11)))))</f>
        <v/>
      </c>
      <c r="J49" s="32">
        <f>IF(OR(B49&gt;2027,AND(B49=2027,VALUE(LEFT(C49,LEN(C49)-1))&gt;=9)),IF(AND(总览!$L$12&lt;&gt;"",B49*100+VALUE(LEFT(C49,LEN(C49)-1))&gt;=总览!$L$12),总览!$M$12,IF(AND(总览!$J$12&lt;&gt;"",B49*100+VALUE(LEFT(C49,LEN(C49)-1))&gt;=总览!$J$12),总览!$K$12,IF(AND(总览!$H$12&lt;&gt;"",B49*100+VALUE(LEFT(C49,LEN(C49)-1))&gt;=总览!$H$12),总览!$I$12,IF(AND(总览!$F$12&lt;&gt;"",B49*100+VALUE(LEFT(C49,LEN(C49)-1))&gt;=总览!$F$12),总览!$G$12,IF(AND(总览!$D$12&lt;&gt;"",B49*100+VALUE(LEFT(C49,LEN(C49)-1))&gt;=总览!$D$12),总览!$E$12,总览!$B$12))))),0)</f>
        <v/>
      </c>
      <c r="K49" s="32">
        <f>IF(AND(B49=2026,C49="5月"),120000,IF(AND(B49=2027,C49="9月"),30000,IF(C49="10月",IF(AND(总览!$L$13&lt;&gt;"",B49*100+VALUE(LEFT(C49,LEN(C49)-1))&gt;=总览!$L$13),总览!$M$13,IF(AND(总览!$J$13&lt;&gt;"",B49*100+VALUE(LEFT(C49,LEN(C49)-1))&gt;=总览!$J$13),总览!$K$13,IF(AND(总览!$H$13&lt;&gt;"",B49*100+VALUE(LEFT(C49,LEN(C49)-1))&gt;=总览!$H$13),总览!$I$13,IF(AND(总览!$F$13&lt;&gt;"",B49*100+VALUE(LEFT(C49,LEN(C49)-1))&gt;=总览!$F$13),总览!$G$13,IF(AND(总览!$D$13&lt;&gt;"",B49*100+VALUE(LEFT(C49,LEN(C49)-1))&gt;=总览!$D$13),总览!$E$13,总览!$B$13))))),0)))</f>
        <v/>
      </c>
      <c r="L49" s="31" t="inlineStr"/>
      <c r="M49" s="32">
        <f>IF(B49*100+VALUE(LEFT(C49,LEN(C49)-1))=总览!$B$18,总览!$B$23,0)</f>
        <v/>
      </c>
      <c r="N49" s="32">
        <f>IF(B49*100+VALUE(LEFT(C49,LEN(C49)-1))&gt;总览!$B$18,总览!$B$25,0)</f>
        <v/>
      </c>
      <c r="O49" s="32">
        <f>SUM(H49:J49)+K49+M49+N49</f>
        <v/>
      </c>
      <c r="P49" s="32">
        <f>G49-O49</f>
        <v/>
      </c>
      <c r="Q49" s="32">
        <f>Q48+P49</f>
        <v/>
      </c>
      <c r="R49" s="32">
        <f>IF(B49*100+VALUE(LEFT(C49,LEN(C49)-1))&lt;总览!$B$18,0,IF(B49*100+VALUE(LEFT(C49,LEN(C49)-1))=总览!$B$18,总览!$B$24,R48-(总览!$B$25-R48*总览!$B$22/12)))</f>
        <v/>
      </c>
    </row>
    <row r="50">
      <c r="A50" s="30" t="n">
        <v>49</v>
      </c>
      <c r="B50" s="30" t="n">
        <v>2030</v>
      </c>
      <c r="C50" s="30" t="inlineStr">
        <is>
          <t>2月</t>
        </is>
      </c>
      <c r="D50" s="11">
        <f>IF(AND(总览!$L$6&lt;&gt;"",B50*100+VALUE(LEFT(C50,LEN(C50)-1))&gt;=总览!$L$6),总览!$M$6,IF(AND(总览!$J$6&lt;&gt;"",B50*100+VALUE(LEFT(C50,LEN(C50)-1))&gt;=总览!$J$6),总览!$K$6,IF(AND(总览!$H$6&lt;&gt;"",B50*100+VALUE(LEFT(C50,LEN(C50)-1))&gt;=总览!$H$6),总览!$I$6,IF(AND(总览!$F$6&lt;&gt;"",B50*100+VALUE(LEFT(C50,LEN(C50)-1))&gt;=总览!$F$6),总览!$G$6,IF(AND(总览!$D$6&lt;&gt;"",B50*100+VALUE(LEFT(C50,LEN(C50)-1))&gt;=总览!$D$6),总览!$E$6,总览!$B$6)))))</f>
        <v/>
      </c>
      <c r="E50" s="11">
        <f>IF(C50="12月",IF(AND(总览!$L$7&lt;&gt;"",B50*100+VALUE(LEFT(C50,LEN(C50)-1))&gt;=总览!$L$7),总览!$M$7,IF(AND(总览!$J$7&lt;&gt;"",B50*100+VALUE(LEFT(C50,LEN(C50)-1))&gt;=总览!$J$7),总览!$K$7,IF(AND(总览!$H$7&lt;&gt;"",B50*100+VALUE(LEFT(C50,LEN(C50)-1))&gt;=总览!$H$7),总览!$I$7,IF(AND(总览!$F$7&lt;&gt;"",B50*100+VALUE(LEFT(C50,LEN(C50)-1))&gt;=总览!$F$7),总览!$G$7,IF(AND(总览!$D$7&lt;&gt;"",B50*100+VALUE(LEFT(C50,LEN(C50)-1))&gt;=总览!$D$7),总览!$E$7,总览!$B$7))))),0)</f>
        <v/>
      </c>
      <c r="F50" s="11">
        <f>ROUND(Q49*总览!$B$14/12,0)</f>
        <v/>
      </c>
      <c r="G50" s="11">
        <f>D50+E50+F50</f>
        <v/>
      </c>
      <c r="H50" s="11">
        <f>IF(OR(B50&gt;2027,AND(B50=2027,VALUE(LEFT(C50,LEN(C50)-1))&gt;=9)),IF(AND(总览!$L$10&lt;&gt;"",B50*100+VALUE(LEFT(C50,LEN(C50)-1))&gt;=总览!$L$10),总览!$M$10,IF(AND(总览!$J$10&lt;&gt;"",B50*100+VALUE(LEFT(C50,LEN(C50)-1))&gt;=总览!$J$10),总览!$K$10,IF(AND(总览!$H$10&lt;&gt;"",B50*100+VALUE(LEFT(C50,LEN(C50)-1))&gt;=总览!$H$10),总览!$I$10,IF(AND(总览!$F$10&lt;&gt;"",B50*100+VALUE(LEFT(C50,LEN(C50)-1))&gt;=总览!$F$10),总览!$G$10,IF(AND(总览!$D$10&lt;&gt;"",B50*100+VALUE(LEFT(C50,LEN(C50)-1))&gt;=总览!$D$10),总览!$E$10,总览!$B$10))))),IF(AND(总览!$L$9&lt;&gt;"",B50*100+VALUE(LEFT(C50,LEN(C50)-1))&gt;=总览!$L$9),总览!$M$9,IF(AND(总览!$J$9&lt;&gt;"",B50*100+VALUE(LEFT(C50,LEN(C50)-1))&gt;=总览!$J$9),总览!$K$9,IF(AND(总览!$H$9&lt;&gt;"",B50*100+VALUE(LEFT(C50,LEN(C50)-1))&gt;=总览!$H$9),总览!$I$9,IF(AND(总览!$F$9&lt;&gt;"",B50*100+VALUE(LEFT(C50,LEN(C50)-1))&gt;=总览!$F$9),总览!$G$9,IF(AND(总览!$D$9&lt;&gt;"",B50*100+VALUE(LEFT(C50,LEN(C50)-1))&gt;=总览!$D$9),总览!$E$9,总览!$B$9))))))</f>
        <v/>
      </c>
      <c r="I50" s="11">
        <f>IF(AND(总览!$L$11&lt;&gt;"",B50*100+VALUE(LEFT(C50,LEN(C50)-1))&gt;=总览!$L$11),总览!$M$11,IF(AND(总览!$J$11&lt;&gt;"",B50*100+VALUE(LEFT(C50,LEN(C50)-1))&gt;=总览!$J$11),总览!$K$11,IF(AND(总览!$H$11&lt;&gt;"",B50*100+VALUE(LEFT(C50,LEN(C50)-1))&gt;=总览!$H$11),总览!$I$11,IF(AND(总览!$F$11&lt;&gt;"",B50*100+VALUE(LEFT(C50,LEN(C50)-1))&gt;=总览!$F$11),总览!$G$11,IF(AND(总览!$D$11&lt;&gt;"",B50*100+VALUE(LEFT(C50,LEN(C50)-1))&gt;=总览!$D$11),总览!$E$11,总览!$B$11)))))</f>
        <v/>
      </c>
      <c r="J50" s="11">
        <f>IF(OR(B50&gt;2027,AND(B50=2027,VALUE(LEFT(C50,LEN(C50)-1))&gt;=9)),IF(AND(总览!$L$12&lt;&gt;"",B50*100+VALUE(LEFT(C50,LEN(C50)-1))&gt;=总览!$L$12),总览!$M$12,IF(AND(总览!$J$12&lt;&gt;"",B50*100+VALUE(LEFT(C50,LEN(C50)-1))&gt;=总览!$J$12),总览!$K$12,IF(AND(总览!$H$12&lt;&gt;"",B50*100+VALUE(LEFT(C50,LEN(C50)-1))&gt;=总览!$H$12),总览!$I$12,IF(AND(总览!$F$12&lt;&gt;"",B50*100+VALUE(LEFT(C50,LEN(C50)-1))&gt;=总览!$F$12),总览!$G$12,IF(AND(总览!$D$12&lt;&gt;"",B50*100+VALUE(LEFT(C50,LEN(C50)-1))&gt;=总览!$D$12),总览!$E$12,总览!$B$12))))),0)</f>
        <v/>
      </c>
      <c r="K50" s="11">
        <f>IF(AND(B50=2026,C50="5月"),120000,IF(AND(B50=2027,C50="9月"),30000,IF(C50="10月",IF(AND(总览!$L$13&lt;&gt;"",B50*100+VALUE(LEFT(C50,LEN(C50)-1))&gt;=总览!$L$13),总览!$M$13,IF(AND(总览!$J$13&lt;&gt;"",B50*100+VALUE(LEFT(C50,LEN(C50)-1))&gt;=总览!$J$13),总览!$K$13,IF(AND(总览!$H$13&lt;&gt;"",B50*100+VALUE(LEFT(C50,LEN(C50)-1))&gt;=总览!$H$13),总览!$I$13,IF(AND(总览!$F$13&lt;&gt;"",B50*100+VALUE(LEFT(C50,LEN(C50)-1))&gt;=总览!$F$13),总览!$G$13,IF(AND(总览!$D$13&lt;&gt;"",B50*100+VALUE(LEFT(C50,LEN(C50)-1))&gt;=总览!$D$13),总览!$E$13,总览!$B$13))))),0)))</f>
        <v/>
      </c>
      <c r="L50" s="30" t="inlineStr"/>
      <c r="M50" s="11">
        <f>IF(B50*100+VALUE(LEFT(C50,LEN(C50)-1))=总览!$B$18,总览!$B$23,0)</f>
        <v/>
      </c>
      <c r="N50" s="11">
        <f>IF(B50*100+VALUE(LEFT(C50,LEN(C50)-1))&gt;总览!$B$18,总览!$B$25,0)</f>
        <v/>
      </c>
      <c r="O50" s="11">
        <f>SUM(H50:J50)+K50+M50+N50</f>
        <v/>
      </c>
      <c r="P50" s="11">
        <f>G50-O50</f>
        <v/>
      </c>
      <c r="Q50" s="11">
        <f>Q49+P50</f>
        <v/>
      </c>
      <c r="R50" s="11">
        <f>IF(B50*100+VALUE(LEFT(C50,LEN(C50)-1))&lt;总览!$B$18,0,IF(B50*100+VALUE(LEFT(C50,LEN(C50)-1))=总览!$B$18,总览!$B$24,R49-(总览!$B$25-R49*总览!$B$22/12)))</f>
        <v/>
      </c>
    </row>
    <row r="51">
      <c r="A51" s="31" t="n">
        <v>50</v>
      </c>
      <c r="B51" s="31" t="n">
        <v>2030</v>
      </c>
      <c r="C51" s="31" t="inlineStr">
        <is>
          <t>3月</t>
        </is>
      </c>
      <c r="D51" s="32">
        <f>IF(AND(总览!$L$6&lt;&gt;"",B51*100+VALUE(LEFT(C51,LEN(C51)-1))&gt;=总览!$L$6),总览!$M$6,IF(AND(总览!$J$6&lt;&gt;"",B51*100+VALUE(LEFT(C51,LEN(C51)-1))&gt;=总览!$J$6),总览!$K$6,IF(AND(总览!$H$6&lt;&gt;"",B51*100+VALUE(LEFT(C51,LEN(C51)-1))&gt;=总览!$H$6),总览!$I$6,IF(AND(总览!$F$6&lt;&gt;"",B51*100+VALUE(LEFT(C51,LEN(C51)-1))&gt;=总览!$F$6),总览!$G$6,IF(AND(总览!$D$6&lt;&gt;"",B51*100+VALUE(LEFT(C51,LEN(C51)-1))&gt;=总览!$D$6),总览!$E$6,总览!$B$6)))))</f>
        <v/>
      </c>
      <c r="E51" s="32">
        <f>IF(C51="12月",IF(AND(总览!$L$7&lt;&gt;"",B51*100+VALUE(LEFT(C51,LEN(C51)-1))&gt;=总览!$L$7),总览!$M$7,IF(AND(总览!$J$7&lt;&gt;"",B51*100+VALUE(LEFT(C51,LEN(C51)-1))&gt;=总览!$J$7),总览!$K$7,IF(AND(总览!$H$7&lt;&gt;"",B51*100+VALUE(LEFT(C51,LEN(C51)-1))&gt;=总览!$H$7),总览!$I$7,IF(AND(总览!$F$7&lt;&gt;"",B51*100+VALUE(LEFT(C51,LEN(C51)-1))&gt;=总览!$F$7),总览!$G$7,IF(AND(总览!$D$7&lt;&gt;"",B51*100+VALUE(LEFT(C51,LEN(C51)-1))&gt;=总览!$D$7),总览!$E$7,总览!$B$7))))),0)</f>
        <v/>
      </c>
      <c r="F51" s="32">
        <f>ROUND(Q50*总览!$B$14/12,0)</f>
        <v/>
      </c>
      <c r="G51" s="32">
        <f>D51+E51+F51</f>
        <v/>
      </c>
      <c r="H51" s="32">
        <f>IF(OR(B51&gt;2027,AND(B51=2027,VALUE(LEFT(C51,LEN(C51)-1))&gt;=9)),IF(AND(总览!$L$10&lt;&gt;"",B51*100+VALUE(LEFT(C51,LEN(C51)-1))&gt;=总览!$L$10),总览!$M$10,IF(AND(总览!$J$10&lt;&gt;"",B51*100+VALUE(LEFT(C51,LEN(C51)-1))&gt;=总览!$J$10),总览!$K$10,IF(AND(总览!$H$10&lt;&gt;"",B51*100+VALUE(LEFT(C51,LEN(C51)-1))&gt;=总览!$H$10),总览!$I$10,IF(AND(总览!$F$10&lt;&gt;"",B51*100+VALUE(LEFT(C51,LEN(C51)-1))&gt;=总览!$F$10),总览!$G$10,IF(AND(总览!$D$10&lt;&gt;"",B51*100+VALUE(LEFT(C51,LEN(C51)-1))&gt;=总览!$D$10),总览!$E$10,总览!$B$10))))),IF(AND(总览!$L$9&lt;&gt;"",B51*100+VALUE(LEFT(C51,LEN(C51)-1))&gt;=总览!$L$9),总览!$M$9,IF(AND(总览!$J$9&lt;&gt;"",B51*100+VALUE(LEFT(C51,LEN(C51)-1))&gt;=总览!$J$9),总览!$K$9,IF(AND(总览!$H$9&lt;&gt;"",B51*100+VALUE(LEFT(C51,LEN(C51)-1))&gt;=总览!$H$9),总览!$I$9,IF(AND(总览!$F$9&lt;&gt;"",B51*100+VALUE(LEFT(C51,LEN(C51)-1))&gt;=总览!$F$9),总览!$G$9,IF(AND(总览!$D$9&lt;&gt;"",B51*100+VALUE(LEFT(C51,LEN(C51)-1))&gt;=总览!$D$9),总览!$E$9,总览!$B$9))))))</f>
        <v/>
      </c>
      <c r="I51" s="32">
        <f>IF(AND(总览!$L$11&lt;&gt;"",B51*100+VALUE(LEFT(C51,LEN(C51)-1))&gt;=总览!$L$11),总览!$M$11,IF(AND(总览!$J$11&lt;&gt;"",B51*100+VALUE(LEFT(C51,LEN(C51)-1))&gt;=总览!$J$11),总览!$K$11,IF(AND(总览!$H$11&lt;&gt;"",B51*100+VALUE(LEFT(C51,LEN(C51)-1))&gt;=总览!$H$11),总览!$I$11,IF(AND(总览!$F$11&lt;&gt;"",B51*100+VALUE(LEFT(C51,LEN(C51)-1))&gt;=总览!$F$11),总览!$G$11,IF(AND(总览!$D$11&lt;&gt;"",B51*100+VALUE(LEFT(C51,LEN(C51)-1))&gt;=总览!$D$11),总览!$E$11,总览!$B$11)))))</f>
        <v/>
      </c>
      <c r="J51" s="32">
        <f>IF(OR(B51&gt;2027,AND(B51=2027,VALUE(LEFT(C51,LEN(C51)-1))&gt;=9)),IF(AND(总览!$L$12&lt;&gt;"",B51*100+VALUE(LEFT(C51,LEN(C51)-1))&gt;=总览!$L$12),总览!$M$12,IF(AND(总览!$J$12&lt;&gt;"",B51*100+VALUE(LEFT(C51,LEN(C51)-1))&gt;=总览!$J$12),总览!$K$12,IF(AND(总览!$H$12&lt;&gt;"",B51*100+VALUE(LEFT(C51,LEN(C51)-1))&gt;=总览!$H$12),总览!$I$12,IF(AND(总览!$F$12&lt;&gt;"",B51*100+VALUE(LEFT(C51,LEN(C51)-1))&gt;=总览!$F$12),总览!$G$12,IF(AND(总览!$D$12&lt;&gt;"",B51*100+VALUE(LEFT(C51,LEN(C51)-1))&gt;=总览!$D$12),总览!$E$12,总览!$B$12))))),0)</f>
        <v/>
      </c>
      <c r="K51" s="32">
        <f>IF(AND(B51=2026,C51="5月"),120000,IF(AND(B51=2027,C51="9月"),30000,IF(C51="10月",IF(AND(总览!$L$13&lt;&gt;"",B51*100+VALUE(LEFT(C51,LEN(C51)-1))&gt;=总览!$L$13),总览!$M$13,IF(AND(总览!$J$13&lt;&gt;"",B51*100+VALUE(LEFT(C51,LEN(C51)-1))&gt;=总览!$J$13),总览!$K$13,IF(AND(总览!$H$13&lt;&gt;"",B51*100+VALUE(LEFT(C51,LEN(C51)-1))&gt;=总览!$H$13),总览!$I$13,IF(AND(总览!$F$13&lt;&gt;"",B51*100+VALUE(LEFT(C51,LEN(C51)-1))&gt;=总览!$F$13),总览!$G$13,IF(AND(总览!$D$13&lt;&gt;"",B51*100+VALUE(LEFT(C51,LEN(C51)-1))&gt;=总览!$D$13),总览!$E$13,总览!$B$13))))),0)))</f>
        <v/>
      </c>
      <c r="L51" s="31" t="inlineStr"/>
      <c r="M51" s="32">
        <f>IF(B51*100+VALUE(LEFT(C51,LEN(C51)-1))=总览!$B$18,总览!$B$23,0)</f>
        <v/>
      </c>
      <c r="N51" s="32">
        <f>IF(B51*100+VALUE(LEFT(C51,LEN(C51)-1))&gt;总览!$B$18,总览!$B$25,0)</f>
        <v/>
      </c>
      <c r="O51" s="32">
        <f>SUM(H51:J51)+K51+M51+N51</f>
        <v/>
      </c>
      <c r="P51" s="32">
        <f>G51-O51</f>
        <v/>
      </c>
      <c r="Q51" s="32">
        <f>Q50+P51</f>
        <v/>
      </c>
      <c r="R51" s="32">
        <f>IF(B51*100+VALUE(LEFT(C51,LEN(C51)-1))&lt;总览!$B$18,0,IF(B51*100+VALUE(LEFT(C51,LEN(C51)-1))=总览!$B$18,总览!$B$24,R50-(总览!$B$25-R50*总览!$B$22/12)))</f>
        <v/>
      </c>
    </row>
    <row r="52">
      <c r="A52" s="30" t="n">
        <v>51</v>
      </c>
      <c r="B52" s="30" t="n">
        <v>2030</v>
      </c>
      <c r="C52" s="30" t="inlineStr">
        <is>
          <t>4月</t>
        </is>
      </c>
      <c r="D52" s="11">
        <f>IF(AND(总览!$L$6&lt;&gt;"",B52*100+VALUE(LEFT(C52,LEN(C52)-1))&gt;=总览!$L$6),总览!$M$6,IF(AND(总览!$J$6&lt;&gt;"",B52*100+VALUE(LEFT(C52,LEN(C52)-1))&gt;=总览!$J$6),总览!$K$6,IF(AND(总览!$H$6&lt;&gt;"",B52*100+VALUE(LEFT(C52,LEN(C52)-1))&gt;=总览!$H$6),总览!$I$6,IF(AND(总览!$F$6&lt;&gt;"",B52*100+VALUE(LEFT(C52,LEN(C52)-1))&gt;=总览!$F$6),总览!$G$6,IF(AND(总览!$D$6&lt;&gt;"",B52*100+VALUE(LEFT(C52,LEN(C52)-1))&gt;=总览!$D$6),总览!$E$6,总览!$B$6)))))</f>
        <v/>
      </c>
      <c r="E52" s="11">
        <f>IF(C52="12月",IF(AND(总览!$L$7&lt;&gt;"",B52*100+VALUE(LEFT(C52,LEN(C52)-1))&gt;=总览!$L$7),总览!$M$7,IF(AND(总览!$J$7&lt;&gt;"",B52*100+VALUE(LEFT(C52,LEN(C52)-1))&gt;=总览!$J$7),总览!$K$7,IF(AND(总览!$H$7&lt;&gt;"",B52*100+VALUE(LEFT(C52,LEN(C52)-1))&gt;=总览!$H$7),总览!$I$7,IF(AND(总览!$F$7&lt;&gt;"",B52*100+VALUE(LEFT(C52,LEN(C52)-1))&gt;=总览!$F$7),总览!$G$7,IF(AND(总览!$D$7&lt;&gt;"",B52*100+VALUE(LEFT(C52,LEN(C52)-1))&gt;=总览!$D$7),总览!$E$7,总览!$B$7))))),0)</f>
        <v/>
      </c>
      <c r="F52" s="11">
        <f>ROUND(Q51*总览!$B$14/12,0)</f>
        <v/>
      </c>
      <c r="G52" s="11">
        <f>D52+E52+F52</f>
        <v/>
      </c>
      <c r="H52" s="11">
        <f>IF(OR(B52&gt;2027,AND(B52=2027,VALUE(LEFT(C52,LEN(C52)-1))&gt;=9)),IF(AND(总览!$L$10&lt;&gt;"",B52*100+VALUE(LEFT(C52,LEN(C52)-1))&gt;=总览!$L$10),总览!$M$10,IF(AND(总览!$J$10&lt;&gt;"",B52*100+VALUE(LEFT(C52,LEN(C52)-1))&gt;=总览!$J$10),总览!$K$10,IF(AND(总览!$H$10&lt;&gt;"",B52*100+VALUE(LEFT(C52,LEN(C52)-1))&gt;=总览!$H$10),总览!$I$10,IF(AND(总览!$F$10&lt;&gt;"",B52*100+VALUE(LEFT(C52,LEN(C52)-1))&gt;=总览!$F$10),总览!$G$10,IF(AND(总览!$D$10&lt;&gt;"",B52*100+VALUE(LEFT(C52,LEN(C52)-1))&gt;=总览!$D$10),总览!$E$10,总览!$B$10))))),IF(AND(总览!$L$9&lt;&gt;"",B52*100+VALUE(LEFT(C52,LEN(C52)-1))&gt;=总览!$L$9),总览!$M$9,IF(AND(总览!$J$9&lt;&gt;"",B52*100+VALUE(LEFT(C52,LEN(C52)-1))&gt;=总览!$J$9),总览!$K$9,IF(AND(总览!$H$9&lt;&gt;"",B52*100+VALUE(LEFT(C52,LEN(C52)-1))&gt;=总览!$H$9),总览!$I$9,IF(AND(总览!$F$9&lt;&gt;"",B52*100+VALUE(LEFT(C52,LEN(C52)-1))&gt;=总览!$F$9),总览!$G$9,IF(AND(总览!$D$9&lt;&gt;"",B52*100+VALUE(LEFT(C52,LEN(C52)-1))&gt;=总览!$D$9),总览!$E$9,总览!$B$9))))))</f>
        <v/>
      </c>
      <c r="I52" s="11">
        <f>IF(AND(总览!$L$11&lt;&gt;"",B52*100+VALUE(LEFT(C52,LEN(C52)-1))&gt;=总览!$L$11),总览!$M$11,IF(AND(总览!$J$11&lt;&gt;"",B52*100+VALUE(LEFT(C52,LEN(C52)-1))&gt;=总览!$J$11),总览!$K$11,IF(AND(总览!$H$11&lt;&gt;"",B52*100+VALUE(LEFT(C52,LEN(C52)-1))&gt;=总览!$H$11),总览!$I$11,IF(AND(总览!$F$11&lt;&gt;"",B52*100+VALUE(LEFT(C52,LEN(C52)-1))&gt;=总览!$F$11),总览!$G$11,IF(AND(总览!$D$11&lt;&gt;"",B52*100+VALUE(LEFT(C52,LEN(C52)-1))&gt;=总览!$D$11),总览!$E$11,总览!$B$11)))))</f>
        <v/>
      </c>
      <c r="J52" s="11">
        <f>IF(OR(B52&gt;2027,AND(B52=2027,VALUE(LEFT(C52,LEN(C52)-1))&gt;=9)),IF(AND(总览!$L$12&lt;&gt;"",B52*100+VALUE(LEFT(C52,LEN(C52)-1))&gt;=总览!$L$12),总览!$M$12,IF(AND(总览!$J$12&lt;&gt;"",B52*100+VALUE(LEFT(C52,LEN(C52)-1))&gt;=总览!$J$12),总览!$K$12,IF(AND(总览!$H$12&lt;&gt;"",B52*100+VALUE(LEFT(C52,LEN(C52)-1))&gt;=总览!$H$12),总览!$I$12,IF(AND(总览!$F$12&lt;&gt;"",B52*100+VALUE(LEFT(C52,LEN(C52)-1))&gt;=总览!$F$12),总览!$G$12,IF(AND(总览!$D$12&lt;&gt;"",B52*100+VALUE(LEFT(C52,LEN(C52)-1))&gt;=总览!$D$12),总览!$E$12,总览!$B$12))))),0)</f>
        <v/>
      </c>
      <c r="K52" s="11">
        <f>IF(AND(B52=2026,C52="5月"),120000,IF(AND(B52=2027,C52="9月"),30000,IF(C52="10月",IF(AND(总览!$L$13&lt;&gt;"",B52*100+VALUE(LEFT(C52,LEN(C52)-1))&gt;=总览!$L$13),总览!$M$13,IF(AND(总览!$J$13&lt;&gt;"",B52*100+VALUE(LEFT(C52,LEN(C52)-1))&gt;=总览!$J$13),总览!$K$13,IF(AND(总览!$H$13&lt;&gt;"",B52*100+VALUE(LEFT(C52,LEN(C52)-1))&gt;=总览!$H$13),总览!$I$13,IF(AND(总览!$F$13&lt;&gt;"",B52*100+VALUE(LEFT(C52,LEN(C52)-1))&gt;=总览!$F$13),总览!$G$13,IF(AND(总览!$D$13&lt;&gt;"",B52*100+VALUE(LEFT(C52,LEN(C52)-1))&gt;=总览!$D$13),总览!$E$13,总览!$B$13))))),0)))</f>
        <v/>
      </c>
      <c r="L52" s="30" t="inlineStr"/>
      <c r="M52" s="11">
        <f>IF(B52*100+VALUE(LEFT(C52,LEN(C52)-1))=总览!$B$18,总览!$B$23,0)</f>
        <v/>
      </c>
      <c r="N52" s="11">
        <f>IF(B52*100+VALUE(LEFT(C52,LEN(C52)-1))&gt;总览!$B$18,总览!$B$25,0)</f>
        <v/>
      </c>
      <c r="O52" s="11">
        <f>SUM(H52:J52)+K52+M52+N52</f>
        <v/>
      </c>
      <c r="P52" s="11">
        <f>G52-O52</f>
        <v/>
      </c>
      <c r="Q52" s="11">
        <f>Q51+P52</f>
        <v/>
      </c>
      <c r="R52" s="11">
        <f>IF(B52*100+VALUE(LEFT(C52,LEN(C52)-1))&lt;总览!$B$18,0,IF(B52*100+VALUE(LEFT(C52,LEN(C52)-1))=总览!$B$18,总览!$B$24,R51-(总览!$B$25-R51*总览!$B$22/12)))</f>
        <v/>
      </c>
    </row>
    <row r="53">
      <c r="A53" s="31" t="n">
        <v>52</v>
      </c>
      <c r="B53" s="31" t="n">
        <v>2030</v>
      </c>
      <c r="C53" s="31" t="inlineStr">
        <is>
          <t>5月</t>
        </is>
      </c>
      <c r="D53" s="32">
        <f>IF(AND(总览!$L$6&lt;&gt;"",B53*100+VALUE(LEFT(C53,LEN(C53)-1))&gt;=总览!$L$6),总览!$M$6,IF(AND(总览!$J$6&lt;&gt;"",B53*100+VALUE(LEFT(C53,LEN(C53)-1))&gt;=总览!$J$6),总览!$K$6,IF(AND(总览!$H$6&lt;&gt;"",B53*100+VALUE(LEFT(C53,LEN(C53)-1))&gt;=总览!$H$6),总览!$I$6,IF(AND(总览!$F$6&lt;&gt;"",B53*100+VALUE(LEFT(C53,LEN(C53)-1))&gt;=总览!$F$6),总览!$G$6,IF(AND(总览!$D$6&lt;&gt;"",B53*100+VALUE(LEFT(C53,LEN(C53)-1))&gt;=总览!$D$6),总览!$E$6,总览!$B$6)))))</f>
        <v/>
      </c>
      <c r="E53" s="32">
        <f>IF(C53="12月",IF(AND(总览!$L$7&lt;&gt;"",B53*100+VALUE(LEFT(C53,LEN(C53)-1))&gt;=总览!$L$7),总览!$M$7,IF(AND(总览!$J$7&lt;&gt;"",B53*100+VALUE(LEFT(C53,LEN(C53)-1))&gt;=总览!$J$7),总览!$K$7,IF(AND(总览!$H$7&lt;&gt;"",B53*100+VALUE(LEFT(C53,LEN(C53)-1))&gt;=总览!$H$7),总览!$I$7,IF(AND(总览!$F$7&lt;&gt;"",B53*100+VALUE(LEFT(C53,LEN(C53)-1))&gt;=总览!$F$7),总览!$G$7,IF(AND(总览!$D$7&lt;&gt;"",B53*100+VALUE(LEFT(C53,LEN(C53)-1))&gt;=总览!$D$7),总览!$E$7,总览!$B$7))))),0)</f>
        <v/>
      </c>
      <c r="F53" s="32">
        <f>ROUND(Q52*总览!$B$14/12,0)</f>
        <v/>
      </c>
      <c r="G53" s="32">
        <f>D53+E53+F53</f>
        <v/>
      </c>
      <c r="H53" s="32">
        <f>IF(OR(B53&gt;2027,AND(B53=2027,VALUE(LEFT(C53,LEN(C53)-1))&gt;=9)),IF(AND(总览!$L$10&lt;&gt;"",B53*100+VALUE(LEFT(C53,LEN(C53)-1))&gt;=总览!$L$10),总览!$M$10,IF(AND(总览!$J$10&lt;&gt;"",B53*100+VALUE(LEFT(C53,LEN(C53)-1))&gt;=总览!$J$10),总览!$K$10,IF(AND(总览!$H$10&lt;&gt;"",B53*100+VALUE(LEFT(C53,LEN(C53)-1))&gt;=总览!$H$10),总览!$I$10,IF(AND(总览!$F$10&lt;&gt;"",B53*100+VALUE(LEFT(C53,LEN(C53)-1))&gt;=总览!$F$10),总览!$G$10,IF(AND(总览!$D$10&lt;&gt;"",B53*100+VALUE(LEFT(C53,LEN(C53)-1))&gt;=总览!$D$10),总览!$E$10,总览!$B$10))))),IF(AND(总览!$L$9&lt;&gt;"",B53*100+VALUE(LEFT(C53,LEN(C53)-1))&gt;=总览!$L$9),总览!$M$9,IF(AND(总览!$J$9&lt;&gt;"",B53*100+VALUE(LEFT(C53,LEN(C53)-1))&gt;=总览!$J$9),总览!$K$9,IF(AND(总览!$H$9&lt;&gt;"",B53*100+VALUE(LEFT(C53,LEN(C53)-1))&gt;=总览!$H$9),总览!$I$9,IF(AND(总览!$F$9&lt;&gt;"",B53*100+VALUE(LEFT(C53,LEN(C53)-1))&gt;=总览!$F$9),总览!$G$9,IF(AND(总览!$D$9&lt;&gt;"",B53*100+VALUE(LEFT(C53,LEN(C53)-1))&gt;=总览!$D$9),总览!$E$9,总览!$B$9))))))</f>
        <v/>
      </c>
      <c r="I53" s="32">
        <f>IF(AND(总览!$L$11&lt;&gt;"",B53*100+VALUE(LEFT(C53,LEN(C53)-1))&gt;=总览!$L$11),总览!$M$11,IF(AND(总览!$J$11&lt;&gt;"",B53*100+VALUE(LEFT(C53,LEN(C53)-1))&gt;=总览!$J$11),总览!$K$11,IF(AND(总览!$H$11&lt;&gt;"",B53*100+VALUE(LEFT(C53,LEN(C53)-1))&gt;=总览!$H$11),总览!$I$11,IF(AND(总览!$F$11&lt;&gt;"",B53*100+VALUE(LEFT(C53,LEN(C53)-1))&gt;=总览!$F$11),总览!$G$11,IF(AND(总览!$D$11&lt;&gt;"",B53*100+VALUE(LEFT(C53,LEN(C53)-1))&gt;=总览!$D$11),总览!$E$11,总览!$B$11)))))</f>
        <v/>
      </c>
      <c r="J53" s="32">
        <f>IF(OR(B53&gt;2027,AND(B53=2027,VALUE(LEFT(C53,LEN(C53)-1))&gt;=9)),IF(AND(总览!$L$12&lt;&gt;"",B53*100+VALUE(LEFT(C53,LEN(C53)-1))&gt;=总览!$L$12),总览!$M$12,IF(AND(总览!$J$12&lt;&gt;"",B53*100+VALUE(LEFT(C53,LEN(C53)-1))&gt;=总览!$J$12),总览!$K$12,IF(AND(总览!$H$12&lt;&gt;"",B53*100+VALUE(LEFT(C53,LEN(C53)-1))&gt;=总览!$H$12),总览!$I$12,IF(AND(总览!$F$12&lt;&gt;"",B53*100+VALUE(LEFT(C53,LEN(C53)-1))&gt;=总览!$F$12),总览!$G$12,IF(AND(总览!$D$12&lt;&gt;"",B53*100+VALUE(LEFT(C53,LEN(C53)-1))&gt;=总览!$D$12),总览!$E$12,总览!$B$12))))),0)</f>
        <v/>
      </c>
      <c r="K53" s="32">
        <f>IF(AND(B53=2026,C53="5月"),120000,IF(AND(B53=2027,C53="9月"),30000,IF(C53="10月",IF(AND(总览!$L$13&lt;&gt;"",B53*100+VALUE(LEFT(C53,LEN(C53)-1))&gt;=总览!$L$13),总览!$M$13,IF(AND(总览!$J$13&lt;&gt;"",B53*100+VALUE(LEFT(C53,LEN(C53)-1))&gt;=总览!$J$13),总览!$K$13,IF(AND(总览!$H$13&lt;&gt;"",B53*100+VALUE(LEFT(C53,LEN(C53)-1))&gt;=总览!$H$13),总览!$I$13,IF(AND(总览!$F$13&lt;&gt;"",B53*100+VALUE(LEFT(C53,LEN(C53)-1))&gt;=总览!$F$13),总览!$G$13,IF(AND(总览!$D$13&lt;&gt;"",B53*100+VALUE(LEFT(C53,LEN(C53)-1))&gt;=总览!$D$13),总览!$E$13,总览!$B$13))))),0)))</f>
        <v/>
      </c>
      <c r="L53" s="31" t="inlineStr"/>
      <c r="M53" s="32">
        <f>IF(B53*100+VALUE(LEFT(C53,LEN(C53)-1))=总览!$B$18,总览!$B$23,0)</f>
        <v/>
      </c>
      <c r="N53" s="32">
        <f>IF(B53*100+VALUE(LEFT(C53,LEN(C53)-1))&gt;总览!$B$18,总览!$B$25,0)</f>
        <v/>
      </c>
      <c r="O53" s="32">
        <f>SUM(H53:J53)+K53+M53+N53</f>
        <v/>
      </c>
      <c r="P53" s="32">
        <f>G53-O53</f>
        <v/>
      </c>
      <c r="Q53" s="32">
        <f>Q52+P53</f>
        <v/>
      </c>
      <c r="R53" s="32">
        <f>IF(B53*100+VALUE(LEFT(C53,LEN(C53)-1))&lt;总览!$B$18,0,IF(B53*100+VALUE(LEFT(C53,LEN(C53)-1))=总览!$B$18,总览!$B$24,R52-(总览!$B$25-R52*总览!$B$22/12)))</f>
        <v/>
      </c>
    </row>
    <row r="54">
      <c r="A54" s="30" t="n">
        <v>53</v>
      </c>
      <c r="B54" s="30" t="n">
        <v>2030</v>
      </c>
      <c r="C54" s="30" t="inlineStr">
        <is>
          <t>6月</t>
        </is>
      </c>
      <c r="D54" s="11">
        <f>IF(AND(总览!$L$6&lt;&gt;"",B54*100+VALUE(LEFT(C54,LEN(C54)-1))&gt;=总览!$L$6),总览!$M$6,IF(AND(总览!$J$6&lt;&gt;"",B54*100+VALUE(LEFT(C54,LEN(C54)-1))&gt;=总览!$J$6),总览!$K$6,IF(AND(总览!$H$6&lt;&gt;"",B54*100+VALUE(LEFT(C54,LEN(C54)-1))&gt;=总览!$H$6),总览!$I$6,IF(AND(总览!$F$6&lt;&gt;"",B54*100+VALUE(LEFT(C54,LEN(C54)-1))&gt;=总览!$F$6),总览!$G$6,IF(AND(总览!$D$6&lt;&gt;"",B54*100+VALUE(LEFT(C54,LEN(C54)-1))&gt;=总览!$D$6),总览!$E$6,总览!$B$6)))))</f>
        <v/>
      </c>
      <c r="E54" s="11">
        <f>IF(C54="12月",IF(AND(总览!$L$7&lt;&gt;"",B54*100+VALUE(LEFT(C54,LEN(C54)-1))&gt;=总览!$L$7),总览!$M$7,IF(AND(总览!$J$7&lt;&gt;"",B54*100+VALUE(LEFT(C54,LEN(C54)-1))&gt;=总览!$J$7),总览!$K$7,IF(AND(总览!$H$7&lt;&gt;"",B54*100+VALUE(LEFT(C54,LEN(C54)-1))&gt;=总览!$H$7),总览!$I$7,IF(AND(总览!$F$7&lt;&gt;"",B54*100+VALUE(LEFT(C54,LEN(C54)-1))&gt;=总览!$F$7),总览!$G$7,IF(AND(总览!$D$7&lt;&gt;"",B54*100+VALUE(LEFT(C54,LEN(C54)-1))&gt;=总览!$D$7),总览!$E$7,总览!$B$7))))),0)</f>
        <v/>
      </c>
      <c r="F54" s="11">
        <f>ROUND(Q53*总览!$B$14/12,0)</f>
        <v/>
      </c>
      <c r="G54" s="11">
        <f>D54+E54+F54</f>
        <v/>
      </c>
      <c r="H54" s="11">
        <f>IF(OR(B54&gt;2027,AND(B54=2027,VALUE(LEFT(C54,LEN(C54)-1))&gt;=9)),IF(AND(总览!$L$10&lt;&gt;"",B54*100+VALUE(LEFT(C54,LEN(C54)-1))&gt;=总览!$L$10),总览!$M$10,IF(AND(总览!$J$10&lt;&gt;"",B54*100+VALUE(LEFT(C54,LEN(C54)-1))&gt;=总览!$J$10),总览!$K$10,IF(AND(总览!$H$10&lt;&gt;"",B54*100+VALUE(LEFT(C54,LEN(C54)-1))&gt;=总览!$H$10),总览!$I$10,IF(AND(总览!$F$10&lt;&gt;"",B54*100+VALUE(LEFT(C54,LEN(C54)-1))&gt;=总览!$F$10),总览!$G$10,IF(AND(总览!$D$10&lt;&gt;"",B54*100+VALUE(LEFT(C54,LEN(C54)-1))&gt;=总览!$D$10),总览!$E$10,总览!$B$10))))),IF(AND(总览!$L$9&lt;&gt;"",B54*100+VALUE(LEFT(C54,LEN(C54)-1))&gt;=总览!$L$9),总览!$M$9,IF(AND(总览!$J$9&lt;&gt;"",B54*100+VALUE(LEFT(C54,LEN(C54)-1))&gt;=总览!$J$9),总览!$K$9,IF(AND(总览!$H$9&lt;&gt;"",B54*100+VALUE(LEFT(C54,LEN(C54)-1))&gt;=总览!$H$9),总览!$I$9,IF(AND(总览!$F$9&lt;&gt;"",B54*100+VALUE(LEFT(C54,LEN(C54)-1))&gt;=总览!$F$9),总览!$G$9,IF(AND(总览!$D$9&lt;&gt;"",B54*100+VALUE(LEFT(C54,LEN(C54)-1))&gt;=总览!$D$9),总览!$E$9,总览!$B$9))))))</f>
        <v/>
      </c>
      <c r="I54" s="11">
        <f>IF(AND(总览!$L$11&lt;&gt;"",B54*100+VALUE(LEFT(C54,LEN(C54)-1))&gt;=总览!$L$11),总览!$M$11,IF(AND(总览!$J$11&lt;&gt;"",B54*100+VALUE(LEFT(C54,LEN(C54)-1))&gt;=总览!$J$11),总览!$K$11,IF(AND(总览!$H$11&lt;&gt;"",B54*100+VALUE(LEFT(C54,LEN(C54)-1))&gt;=总览!$H$11),总览!$I$11,IF(AND(总览!$F$11&lt;&gt;"",B54*100+VALUE(LEFT(C54,LEN(C54)-1))&gt;=总览!$F$11),总览!$G$11,IF(AND(总览!$D$11&lt;&gt;"",B54*100+VALUE(LEFT(C54,LEN(C54)-1))&gt;=总览!$D$11),总览!$E$11,总览!$B$11)))))</f>
        <v/>
      </c>
      <c r="J54" s="11">
        <f>IF(OR(B54&gt;2027,AND(B54=2027,VALUE(LEFT(C54,LEN(C54)-1))&gt;=9)),IF(AND(总览!$L$12&lt;&gt;"",B54*100+VALUE(LEFT(C54,LEN(C54)-1))&gt;=总览!$L$12),总览!$M$12,IF(AND(总览!$J$12&lt;&gt;"",B54*100+VALUE(LEFT(C54,LEN(C54)-1))&gt;=总览!$J$12),总览!$K$12,IF(AND(总览!$H$12&lt;&gt;"",B54*100+VALUE(LEFT(C54,LEN(C54)-1))&gt;=总览!$H$12),总览!$I$12,IF(AND(总览!$F$12&lt;&gt;"",B54*100+VALUE(LEFT(C54,LEN(C54)-1))&gt;=总览!$F$12),总览!$G$12,IF(AND(总览!$D$12&lt;&gt;"",B54*100+VALUE(LEFT(C54,LEN(C54)-1))&gt;=总览!$D$12),总览!$E$12,总览!$B$12))))),0)</f>
        <v/>
      </c>
      <c r="K54" s="11">
        <f>IF(AND(B54=2026,C54="5月"),120000,IF(AND(B54=2027,C54="9月"),30000,IF(C54="10月",IF(AND(总览!$L$13&lt;&gt;"",B54*100+VALUE(LEFT(C54,LEN(C54)-1))&gt;=总览!$L$13),总览!$M$13,IF(AND(总览!$J$13&lt;&gt;"",B54*100+VALUE(LEFT(C54,LEN(C54)-1))&gt;=总览!$J$13),总览!$K$13,IF(AND(总览!$H$13&lt;&gt;"",B54*100+VALUE(LEFT(C54,LEN(C54)-1))&gt;=总览!$H$13),总览!$I$13,IF(AND(总览!$F$13&lt;&gt;"",B54*100+VALUE(LEFT(C54,LEN(C54)-1))&gt;=总览!$F$13),总览!$G$13,IF(AND(总览!$D$13&lt;&gt;"",B54*100+VALUE(LEFT(C54,LEN(C54)-1))&gt;=总览!$D$13),总览!$E$13,总览!$B$13))))),0)))</f>
        <v/>
      </c>
      <c r="L54" s="30" t="inlineStr"/>
      <c r="M54" s="11">
        <f>IF(B54*100+VALUE(LEFT(C54,LEN(C54)-1))=总览!$B$18,总览!$B$23,0)</f>
        <v/>
      </c>
      <c r="N54" s="11">
        <f>IF(B54*100+VALUE(LEFT(C54,LEN(C54)-1))&gt;总览!$B$18,总览!$B$25,0)</f>
        <v/>
      </c>
      <c r="O54" s="11">
        <f>SUM(H54:J54)+K54+M54+N54</f>
        <v/>
      </c>
      <c r="P54" s="11">
        <f>G54-O54</f>
        <v/>
      </c>
      <c r="Q54" s="11">
        <f>Q53+P54</f>
        <v/>
      </c>
      <c r="R54" s="11">
        <f>IF(B54*100+VALUE(LEFT(C54,LEN(C54)-1))&lt;总览!$B$18,0,IF(B54*100+VALUE(LEFT(C54,LEN(C54)-1))=总览!$B$18,总览!$B$24,R53-(总览!$B$25-R53*总览!$B$22/12)))</f>
        <v/>
      </c>
    </row>
    <row r="55">
      <c r="A55" s="31" t="n">
        <v>54</v>
      </c>
      <c r="B55" s="31" t="n">
        <v>2030</v>
      </c>
      <c r="C55" s="31" t="inlineStr">
        <is>
          <t>7月</t>
        </is>
      </c>
      <c r="D55" s="32">
        <f>IF(AND(总览!$L$6&lt;&gt;"",B55*100+VALUE(LEFT(C55,LEN(C55)-1))&gt;=总览!$L$6),总览!$M$6,IF(AND(总览!$J$6&lt;&gt;"",B55*100+VALUE(LEFT(C55,LEN(C55)-1))&gt;=总览!$J$6),总览!$K$6,IF(AND(总览!$H$6&lt;&gt;"",B55*100+VALUE(LEFT(C55,LEN(C55)-1))&gt;=总览!$H$6),总览!$I$6,IF(AND(总览!$F$6&lt;&gt;"",B55*100+VALUE(LEFT(C55,LEN(C55)-1))&gt;=总览!$F$6),总览!$G$6,IF(AND(总览!$D$6&lt;&gt;"",B55*100+VALUE(LEFT(C55,LEN(C55)-1))&gt;=总览!$D$6),总览!$E$6,总览!$B$6)))))</f>
        <v/>
      </c>
      <c r="E55" s="32">
        <f>IF(C55="12月",IF(AND(总览!$L$7&lt;&gt;"",B55*100+VALUE(LEFT(C55,LEN(C55)-1))&gt;=总览!$L$7),总览!$M$7,IF(AND(总览!$J$7&lt;&gt;"",B55*100+VALUE(LEFT(C55,LEN(C55)-1))&gt;=总览!$J$7),总览!$K$7,IF(AND(总览!$H$7&lt;&gt;"",B55*100+VALUE(LEFT(C55,LEN(C55)-1))&gt;=总览!$H$7),总览!$I$7,IF(AND(总览!$F$7&lt;&gt;"",B55*100+VALUE(LEFT(C55,LEN(C55)-1))&gt;=总览!$F$7),总览!$G$7,IF(AND(总览!$D$7&lt;&gt;"",B55*100+VALUE(LEFT(C55,LEN(C55)-1))&gt;=总览!$D$7),总览!$E$7,总览!$B$7))))),0)</f>
        <v/>
      </c>
      <c r="F55" s="32">
        <f>ROUND(Q54*总览!$B$14/12,0)</f>
        <v/>
      </c>
      <c r="G55" s="32">
        <f>D55+E55+F55</f>
        <v/>
      </c>
      <c r="H55" s="32">
        <f>IF(OR(B55&gt;2027,AND(B55=2027,VALUE(LEFT(C55,LEN(C55)-1))&gt;=9)),IF(AND(总览!$L$10&lt;&gt;"",B55*100+VALUE(LEFT(C55,LEN(C55)-1))&gt;=总览!$L$10),总览!$M$10,IF(AND(总览!$J$10&lt;&gt;"",B55*100+VALUE(LEFT(C55,LEN(C55)-1))&gt;=总览!$J$10),总览!$K$10,IF(AND(总览!$H$10&lt;&gt;"",B55*100+VALUE(LEFT(C55,LEN(C55)-1))&gt;=总览!$H$10),总览!$I$10,IF(AND(总览!$F$10&lt;&gt;"",B55*100+VALUE(LEFT(C55,LEN(C55)-1))&gt;=总览!$F$10),总览!$G$10,IF(AND(总览!$D$10&lt;&gt;"",B55*100+VALUE(LEFT(C55,LEN(C55)-1))&gt;=总览!$D$10),总览!$E$10,总览!$B$10))))),IF(AND(总览!$L$9&lt;&gt;"",B55*100+VALUE(LEFT(C55,LEN(C55)-1))&gt;=总览!$L$9),总览!$M$9,IF(AND(总览!$J$9&lt;&gt;"",B55*100+VALUE(LEFT(C55,LEN(C55)-1))&gt;=总览!$J$9),总览!$K$9,IF(AND(总览!$H$9&lt;&gt;"",B55*100+VALUE(LEFT(C55,LEN(C55)-1))&gt;=总览!$H$9),总览!$I$9,IF(AND(总览!$F$9&lt;&gt;"",B55*100+VALUE(LEFT(C55,LEN(C55)-1))&gt;=总览!$F$9),总览!$G$9,IF(AND(总览!$D$9&lt;&gt;"",B55*100+VALUE(LEFT(C55,LEN(C55)-1))&gt;=总览!$D$9),总览!$E$9,总览!$B$9))))))</f>
        <v/>
      </c>
      <c r="I55" s="32">
        <f>IF(AND(总览!$L$11&lt;&gt;"",B55*100+VALUE(LEFT(C55,LEN(C55)-1))&gt;=总览!$L$11),总览!$M$11,IF(AND(总览!$J$11&lt;&gt;"",B55*100+VALUE(LEFT(C55,LEN(C55)-1))&gt;=总览!$J$11),总览!$K$11,IF(AND(总览!$H$11&lt;&gt;"",B55*100+VALUE(LEFT(C55,LEN(C55)-1))&gt;=总览!$H$11),总览!$I$11,IF(AND(总览!$F$11&lt;&gt;"",B55*100+VALUE(LEFT(C55,LEN(C55)-1))&gt;=总览!$F$11),总览!$G$11,IF(AND(总览!$D$11&lt;&gt;"",B55*100+VALUE(LEFT(C55,LEN(C55)-1))&gt;=总览!$D$11),总览!$E$11,总览!$B$11)))))</f>
        <v/>
      </c>
      <c r="J55" s="32">
        <f>IF(OR(B55&gt;2027,AND(B55=2027,VALUE(LEFT(C55,LEN(C55)-1))&gt;=9)),IF(AND(总览!$L$12&lt;&gt;"",B55*100+VALUE(LEFT(C55,LEN(C55)-1))&gt;=总览!$L$12),总览!$M$12,IF(AND(总览!$J$12&lt;&gt;"",B55*100+VALUE(LEFT(C55,LEN(C55)-1))&gt;=总览!$J$12),总览!$K$12,IF(AND(总览!$H$12&lt;&gt;"",B55*100+VALUE(LEFT(C55,LEN(C55)-1))&gt;=总览!$H$12),总览!$I$12,IF(AND(总览!$F$12&lt;&gt;"",B55*100+VALUE(LEFT(C55,LEN(C55)-1))&gt;=总览!$F$12),总览!$G$12,IF(AND(总览!$D$12&lt;&gt;"",B55*100+VALUE(LEFT(C55,LEN(C55)-1))&gt;=总览!$D$12),总览!$E$12,总览!$B$12))))),0)</f>
        <v/>
      </c>
      <c r="K55" s="32">
        <f>IF(AND(B55=2026,C55="5月"),120000,IF(AND(B55=2027,C55="9月"),30000,IF(C55="10月",IF(AND(总览!$L$13&lt;&gt;"",B55*100+VALUE(LEFT(C55,LEN(C55)-1))&gt;=总览!$L$13),总览!$M$13,IF(AND(总览!$J$13&lt;&gt;"",B55*100+VALUE(LEFT(C55,LEN(C55)-1))&gt;=总览!$J$13),总览!$K$13,IF(AND(总览!$H$13&lt;&gt;"",B55*100+VALUE(LEFT(C55,LEN(C55)-1))&gt;=总览!$H$13),总览!$I$13,IF(AND(总览!$F$13&lt;&gt;"",B55*100+VALUE(LEFT(C55,LEN(C55)-1))&gt;=总览!$F$13),总览!$G$13,IF(AND(总览!$D$13&lt;&gt;"",B55*100+VALUE(LEFT(C55,LEN(C55)-1))&gt;=总览!$D$13),总览!$E$13,总览!$B$13))))),0)))</f>
        <v/>
      </c>
      <c r="L55" s="31" t="inlineStr"/>
      <c r="M55" s="32">
        <f>IF(B55*100+VALUE(LEFT(C55,LEN(C55)-1))=总览!$B$18,总览!$B$23,0)</f>
        <v/>
      </c>
      <c r="N55" s="32">
        <f>IF(B55*100+VALUE(LEFT(C55,LEN(C55)-1))&gt;总览!$B$18,总览!$B$25,0)</f>
        <v/>
      </c>
      <c r="O55" s="32">
        <f>SUM(H55:J55)+K55+M55+N55</f>
        <v/>
      </c>
      <c r="P55" s="32">
        <f>G55-O55</f>
        <v/>
      </c>
      <c r="Q55" s="32">
        <f>Q54+P55</f>
        <v/>
      </c>
      <c r="R55" s="32">
        <f>IF(B55*100+VALUE(LEFT(C55,LEN(C55)-1))&lt;总览!$B$18,0,IF(B55*100+VALUE(LEFT(C55,LEN(C55)-1))=总览!$B$18,总览!$B$24,R54-(总览!$B$25-R54*总览!$B$22/12)))</f>
        <v/>
      </c>
    </row>
    <row r="56">
      <c r="A56" s="30" t="n">
        <v>55</v>
      </c>
      <c r="B56" s="30" t="n">
        <v>2030</v>
      </c>
      <c r="C56" s="30" t="inlineStr">
        <is>
          <t>8月</t>
        </is>
      </c>
      <c r="D56" s="11">
        <f>IF(AND(总览!$L$6&lt;&gt;"",B56*100+VALUE(LEFT(C56,LEN(C56)-1))&gt;=总览!$L$6),总览!$M$6,IF(AND(总览!$J$6&lt;&gt;"",B56*100+VALUE(LEFT(C56,LEN(C56)-1))&gt;=总览!$J$6),总览!$K$6,IF(AND(总览!$H$6&lt;&gt;"",B56*100+VALUE(LEFT(C56,LEN(C56)-1))&gt;=总览!$H$6),总览!$I$6,IF(AND(总览!$F$6&lt;&gt;"",B56*100+VALUE(LEFT(C56,LEN(C56)-1))&gt;=总览!$F$6),总览!$G$6,IF(AND(总览!$D$6&lt;&gt;"",B56*100+VALUE(LEFT(C56,LEN(C56)-1))&gt;=总览!$D$6),总览!$E$6,总览!$B$6)))))</f>
        <v/>
      </c>
      <c r="E56" s="11">
        <f>IF(C56="12月",IF(AND(总览!$L$7&lt;&gt;"",B56*100+VALUE(LEFT(C56,LEN(C56)-1))&gt;=总览!$L$7),总览!$M$7,IF(AND(总览!$J$7&lt;&gt;"",B56*100+VALUE(LEFT(C56,LEN(C56)-1))&gt;=总览!$J$7),总览!$K$7,IF(AND(总览!$H$7&lt;&gt;"",B56*100+VALUE(LEFT(C56,LEN(C56)-1))&gt;=总览!$H$7),总览!$I$7,IF(AND(总览!$F$7&lt;&gt;"",B56*100+VALUE(LEFT(C56,LEN(C56)-1))&gt;=总览!$F$7),总览!$G$7,IF(AND(总览!$D$7&lt;&gt;"",B56*100+VALUE(LEFT(C56,LEN(C56)-1))&gt;=总览!$D$7),总览!$E$7,总览!$B$7))))),0)</f>
        <v/>
      </c>
      <c r="F56" s="11">
        <f>ROUND(Q55*总览!$B$14/12,0)</f>
        <v/>
      </c>
      <c r="G56" s="11">
        <f>D56+E56+F56</f>
        <v/>
      </c>
      <c r="H56" s="11">
        <f>IF(OR(B56&gt;2027,AND(B56=2027,VALUE(LEFT(C56,LEN(C56)-1))&gt;=9)),IF(AND(总览!$L$10&lt;&gt;"",B56*100+VALUE(LEFT(C56,LEN(C56)-1))&gt;=总览!$L$10),总览!$M$10,IF(AND(总览!$J$10&lt;&gt;"",B56*100+VALUE(LEFT(C56,LEN(C56)-1))&gt;=总览!$J$10),总览!$K$10,IF(AND(总览!$H$10&lt;&gt;"",B56*100+VALUE(LEFT(C56,LEN(C56)-1))&gt;=总览!$H$10),总览!$I$10,IF(AND(总览!$F$10&lt;&gt;"",B56*100+VALUE(LEFT(C56,LEN(C56)-1))&gt;=总览!$F$10),总览!$G$10,IF(AND(总览!$D$10&lt;&gt;"",B56*100+VALUE(LEFT(C56,LEN(C56)-1))&gt;=总览!$D$10),总览!$E$10,总览!$B$10))))),IF(AND(总览!$L$9&lt;&gt;"",B56*100+VALUE(LEFT(C56,LEN(C56)-1))&gt;=总览!$L$9),总览!$M$9,IF(AND(总览!$J$9&lt;&gt;"",B56*100+VALUE(LEFT(C56,LEN(C56)-1))&gt;=总览!$J$9),总览!$K$9,IF(AND(总览!$H$9&lt;&gt;"",B56*100+VALUE(LEFT(C56,LEN(C56)-1))&gt;=总览!$H$9),总览!$I$9,IF(AND(总览!$F$9&lt;&gt;"",B56*100+VALUE(LEFT(C56,LEN(C56)-1))&gt;=总览!$F$9),总览!$G$9,IF(AND(总览!$D$9&lt;&gt;"",B56*100+VALUE(LEFT(C56,LEN(C56)-1))&gt;=总览!$D$9),总览!$E$9,总览!$B$9))))))</f>
        <v/>
      </c>
      <c r="I56" s="11">
        <f>IF(AND(总览!$L$11&lt;&gt;"",B56*100+VALUE(LEFT(C56,LEN(C56)-1))&gt;=总览!$L$11),总览!$M$11,IF(AND(总览!$J$11&lt;&gt;"",B56*100+VALUE(LEFT(C56,LEN(C56)-1))&gt;=总览!$J$11),总览!$K$11,IF(AND(总览!$H$11&lt;&gt;"",B56*100+VALUE(LEFT(C56,LEN(C56)-1))&gt;=总览!$H$11),总览!$I$11,IF(AND(总览!$F$11&lt;&gt;"",B56*100+VALUE(LEFT(C56,LEN(C56)-1))&gt;=总览!$F$11),总览!$G$11,IF(AND(总览!$D$11&lt;&gt;"",B56*100+VALUE(LEFT(C56,LEN(C56)-1))&gt;=总览!$D$11),总览!$E$11,总览!$B$11)))))</f>
        <v/>
      </c>
      <c r="J56" s="11">
        <f>IF(OR(B56&gt;2027,AND(B56=2027,VALUE(LEFT(C56,LEN(C56)-1))&gt;=9)),IF(AND(总览!$L$12&lt;&gt;"",B56*100+VALUE(LEFT(C56,LEN(C56)-1))&gt;=总览!$L$12),总览!$M$12,IF(AND(总览!$J$12&lt;&gt;"",B56*100+VALUE(LEFT(C56,LEN(C56)-1))&gt;=总览!$J$12),总览!$K$12,IF(AND(总览!$H$12&lt;&gt;"",B56*100+VALUE(LEFT(C56,LEN(C56)-1))&gt;=总览!$H$12),总览!$I$12,IF(AND(总览!$F$12&lt;&gt;"",B56*100+VALUE(LEFT(C56,LEN(C56)-1))&gt;=总览!$F$12),总览!$G$12,IF(AND(总览!$D$12&lt;&gt;"",B56*100+VALUE(LEFT(C56,LEN(C56)-1))&gt;=总览!$D$12),总览!$E$12,总览!$B$12))))),0)</f>
        <v/>
      </c>
      <c r="K56" s="11">
        <f>IF(AND(B56=2026,C56="5月"),120000,IF(AND(B56=2027,C56="9月"),30000,IF(C56="10月",IF(AND(总览!$L$13&lt;&gt;"",B56*100+VALUE(LEFT(C56,LEN(C56)-1))&gt;=总览!$L$13),总览!$M$13,IF(AND(总览!$J$13&lt;&gt;"",B56*100+VALUE(LEFT(C56,LEN(C56)-1))&gt;=总览!$J$13),总览!$K$13,IF(AND(总览!$H$13&lt;&gt;"",B56*100+VALUE(LEFT(C56,LEN(C56)-1))&gt;=总览!$H$13),总览!$I$13,IF(AND(总览!$F$13&lt;&gt;"",B56*100+VALUE(LEFT(C56,LEN(C56)-1))&gt;=总览!$F$13),总览!$G$13,IF(AND(总览!$D$13&lt;&gt;"",B56*100+VALUE(LEFT(C56,LEN(C56)-1))&gt;=总览!$D$13),总览!$E$13,总览!$B$13))))),0)))</f>
        <v/>
      </c>
      <c r="L56" s="30" t="inlineStr"/>
      <c r="M56" s="11">
        <f>IF(B56*100+VALUE(LEFT(C56,LEN(C56)-1))=总览!$B$18,总览!$B$23,0)</f>
        <v/>
      </c>
      <c r="N56" s="11">
        <f>IF(B56*100+VALUE(LEFT(C56,LEN(C56)-1))&gt;总览!$B$18,总览!$B$25,0)</f>
        <v/>
      </c>
      <c r="O56" s="11">
        <f>SUM(H56:J56)+K56+M56+N56</f>
        <v/>
      </c>
      <c r="P56" s="11">
        <f>G56-O56</f>
        <v/>
      </c>
      <c r="Q56" s="11">
        <f>Q55+P56</f>
        <v/>
      </c>
      <c r="R56" s="11">
        <f>IF(B56*100+VALUE(LEFT(C56,LEN(C56)-1))&lt;总览!$B$18,0,IF(B56*100+VALUE(LEFT(C56,LEN(C56)-1))=总览!$B$18,总览!$B$24,R55-(总览!$B$25-R55*总览!$B$22/12)))</f>
        <v/>
      </c>
    </row>
    <row r="57">
      <c r="A57" s="31" t="n">
        <v>56</v>
      </c>
      <c r="B57" s="31" t="n">
        <v>2030</v>
      </c>
      <c r="C57" s="31" t="inlineStr">
        <is>
          <t>9月</t>
        </is>
      </c>
      <c r="D57" s="32">
        <f>IF(AND(总览!$L$6&lt;&gt;"",B57*100+VALUE(LEFT(C57,LEN(C57)-1))&gt;=总览!$L$6),总览!$M$6,IF(AND(总览!$J$6&lt;&gt;"",B57*100+VALUE(LEFT(C57,LEN(C57)-1))&gt;=总览!$J$6),总览!$K$6,IF(AND(总览!$H$6&lt;&gt;"",B57*100+VALUE(LEFT(C57,LEN(C57)-1))&gt;=总览!$H$6),总览!$I$6,IF(AND(总览!$F$6&lt;&gt;"",B57*100+VALUE(LEFT(C57,LEN(C57)-1))&gt;=总览!$F$6),总览!$G$6,IF(AND(总览!$D$6&lt;&gt;"",B57*100+VALUE(LEFT(C57,LEN(C57)-1))&gt;=总览!$D$6),总览!$E$6,总览!$B$6)))))</f>
        <v/>
      </c>
      <c r="E57" s="32">
        <f>IF(C57="12月",IF(AND(总览!$L$7&lt;&gt;"",B57*100+VALUE(LEFT(C57,LEN(C57)-1))&gt;=总览!$L$7),总览!$M$7,IF(AND(总览!$J$7&lt;&gt;"",B57*100+VALUE(LEFT(C57,LEN(C57)-1))&gt;=总览!$J$7),总览!$K$7,IF(AND(总览!$H$7&lt;&gt;"",B57*100+VALUE(LEFT(C57,LEN(C57)-1))&gt;=总览!$H$7),总览!$I$7,IF(AND(总览!$F$7&lt;&gt;"",B57*100+VALUE(LEFT(C57,LEN(C57)-1))&gt;=总览!$F$7),总览!$G$7,IF(AND(总览!$D$7&lt;&gt;"",B57*100+VALUE(LEFT(C57,LEN(C57)-1))&gt;=总览!$D$7),总览!$E$7,总览!$B$7))))),0)</f>
        <v/>
      </c>
      <c r="F57" s="32">
        <f>ROUND(Q56*总览!$B$14/12,0)</f>
        <v/>
      </c>
      <c r="G57" s="32">
        <f>D57+E57+F57</f>
        <v/>
      </c>
      <c r="H57" s="32">
        <f>IF(OR(B57&gt;2027,AND(B57=2027,VALUE(LEFT(C57,LEN(C57)-1))&gt;=9)),IF(AND(总览!$L$10&lt;&gt;"",B57*100+VALUE(LEFT(C57,LEN(C57)-1))&gt;=总览!$L$10),总览!$M$10,IF(AND(总览!$J$10&lt;&gt;"",B57*100+VALUE(LEFT(C57,LEN(C57)-1))&gt;=总览!$J$10),总览!$K$10,IF(AND(总览!$H$10&lt;&gt;"",B57*100+VALUE(LEFT(C57,LEN(C57)-1))&gt;=总览!$H$10),总览!$I$10,IF(AND(总览!$F$10&lt;&gt;"",B57*100+VALUE(LEFT(C57,LEN(C57)-1))&gt;=总览!$F$10),总览!$G$10,IF(AND(总览!$D$10&lt;&gt;"",B57*100+VALUE(LEFT(C57,LEN(C57)-1))&gt;=总览!$D$10),总览!$E$10,总览!$B$10))))),IF(AND(总览!$L$9&lt;&gt;"",B57*100+VALUE(LEFT(C57,LEN(C57)-1))&gt;=总览!$L$9),总览!$M$9,IF(AND(总览!$J$9&lt;&gt;"",B57*100+VALUE(LEFT(C57,LEN(C57)-1))&gt;=总览!$J$9),总览!$K$9,IF(AND(总览!$H$9&lt;&gt;"",B57*100+VALUE(LEFT(C57,LEN(C57)-1))&gt;=总览!$H$9),总览!$I$9,IF(AND(总览!$F$9&lt;&gt;"",B57*100+VALUE(LEFT(C57,LEN(C57)-1))&gt;=总览!$F$9),总览!$G$9,IF(AND(总览!$D$9&lt;&gt;"",B57*100+VALUE(LEFT(C57,LEN(C57)-1))&gt;=总览!$D$9),总览!$E$9,总览!$B$9))))))</f>
        <v/>
      </c>
      <c r="I57" s="32">
        <f>IF(AND(总览!$L$11&lt;&gt;"",B57*100+VALUE(LEFT(C57,LEN(C57)-1))&gt;=总览!$L$11),总览!$M$11,IF(AND(总览!$J$11&lt;&gt;"",B57*100+VALUE(LEFT(C57,LEN(C57)-1))&gt;=总览!$J$11),总览!$K$11,IF(AND(总览!$H$11&lt;&gt;"",B57*100+VALUE(LEFT(C57,LEN(C57)-1))&gt;=总览!$H$11),总览!$I$11,IF(AND(总览!$F$11&lt;&gt;"",B57*100+VALUE(LEFT(C57,LEN(C57)-1))&gt;=总览!$F$11),总览!$G$11,IF(AND(总览!$D$11&lt;&gt;"",B57*100+VALUE(LEFT(C57,LEN(C57)-1))&gt;=总览!$D$11),总览!$E$11,总览!$B$11)))))</f>
        <v/>
      </c>
      <c r="J57" s="32">
        <f>IF(OR(B57&gt;2027,AND(B57=2027,VALUE(LEFT(C57,LEN(C57)-1))&gt;=9)),IF(AND(总览!$L$12&lt;&gt;"",B57*100+VALUE(LEFT(C57,LEN(C57)-1))&gt;=总览!$L$12),总览!$M$12,IF(AND(总览!$J$12&lt;&gt;"",B57*100+VALUE(LEFT(C57,LEN(C57)-1))&gt;=总览!$J$12),总览!$K$12,IF(AND(总览!$H$12&lt;&gt;"",B57*100+VALUE(LEFT(C57,LEN(C57)-1))&gt;=总览!$H$12),总览!$I$12,IF(AND(总览!$F$12&lt;&gt;"",B57*100+VALUE(LEFT(C57,LEN(C57)-1))&gt;=总览!$F$12),总览!$G$12,IF(AND(总览!$D$12&lt;&gt;"",B57*100+VALUE(LEFT(C57,LEN(C57)-1))&gt;=总览!$D$12),总览!$E$12,总览!$B$12))))),0)</f>
        <v/>
      </c>
      <c r="K57" s="32">
        <f>IF(AND(B57=2026,C57="5月"),120000,IF(AND(B57=2027,C57="9月"),30000,IF(C57="10月",IF(AND(总览!$L$13&lt;&gt;"",B57*100+VALUE(LEFT(C57,LEN(C57)-1))&gt;=总览!$L$13),总览!$M$13,IF(AND(总览!$J$13&lt;&gt;"",B57*100+VALUE(LEFT(C57,LEN(C57)-1))&gt;=总览!$J$13),总览!$K$13,IF(AND(总览!$H$13&lt;&gt;"",B57*100+VALUE(LEFT(C57,LEN(C57)-1))&gt;=总览!$H$13),总览!$I$13,IF(AND(总览!$F$13&lt;&gt;"",B57*100+VALUE(LEFT(C57,LEN(C57)-1))&gt;=总览!$F$13),总览!$G$13,IF(AND(总览!$D$13&lt;&gt;"",B57*100+VALUE(LEFT(C57,LEN(C57)-1))&gt;=总览!$D$13),总览!$E$13,总览!$B$13))))),0)))</f>
        <v/>
      </c>
      <c r="L57" s="31" t="inlineStr"/>
      <c r="M57" s="32">
        <f>IF(B57*100+VALUE(LEFT(C57,LEN(C57)-1))=总览!$B$18,总览!$B$23,0)</f>
        <v/>
      </c>
      <c r="N57" s="32">
        <f>IF(B57*100+VALUE(LEFT(C57,LEN(C57)-1))&gt;总览!$B$18,总览!$B$25,0)</f>
        <v/>
      </c>
      <c r="O57" s="32">
        <f>SUM(H57:J57)+K57+M57+N57</f>
        <v/>
      </c>
      <c r="P57" s="32">
        <f>G57-O57</f>
        <v/>
      </c>
      <c r="Q57" s="32">
        <f>Q56+P57</f>
        <v/>
      </c>
      <c r="R57" s="32">
        <f>IF(B57*100+VALUE(LEFT(C57,LEN(C57)-1))&lt;总览!$B$18,0,IF(B57*100+VALUE(LEFT(C57,LEN(C57)-1))=总览!$B$18,总览!$B$24,R56-(总览!$B$25-R56*总览!$B$22/12)))</f>
        <v/>
      </c>
    </row>
    <row r="58">
      <c r="A58" s="33" t="n">
        <v>57</v>
      </c>
      <c r="B58" s="33" t="n">
        <v>2030</v>
      </c>
      <c r="C58" s="33" t="inlineStr">
        <is>
          <t>10月</t>
        </is>
      </c>
      <c r="D58" s="34">
        <f>IF(AND(总览!$L$6&lt;&gt;"",B58*100+VALUE(LEFT(C58,LEN(C58)-1))&gt;=总览!$L$6),总览!$M$6,IF(AND(总览!$J$6&lt;&gt;"",B58*100+VALUE(LEFT(C58,LEN(C58)-1))&gt;=总览!$J$6),总览!$K$6,IF(AND(总览!$H$6&lt;&gt;"",B58*100+VALUE(LEFT(C58,LEN(C58)-1))&gt;=总览!$H$6),总览!$I$6,IF(AND(总览!$F$6&lt;&gt;"",B58*100+VALUE(LEFT(C58,LEN(C58)-1))&gt;=总览!$F$6),总览!$G$6,IF(AND(总览!$D$6&lt;&gt;"",B58*100+VALUE(LEFT(C58,LEN(C58)-1))&gt;=总览!$D$6),总览!$E$6,总览!$B$6)))))</f>
        <v/>
      </c>
      <c r="E58" s="34">
        <f>IF(C58="12月",IF(AND(总览!$L$7&lt;&gt;"",B58*100+VALUE(LEFT(C58,LEN(C58)-1))&gt;=总览!$L$7),总览!$M$7,IF(AND(总览!$J$7&lt;&gt;"",B58*100+VALUE(LEFT(C58,LEN(C58)-1))&gt;=总览!$J$7),总览!$K$7,IF(AND(总览!$H$7&lt;&gt;"",B58*100+VALUE(LEFT(C58,LEN(C58)-1))&gt;=总览!$H$7),总览!$I$7,IF(AND(总览!$F$7&lt;&gt;"",B58*100+VALUE(LEFT(C58,LEN(C58)-1))&gt;=总览!$F$7),总览!$G$7,IF(AND(总览!$D$7&lt;&gt;"",B58*100+VALUE(LEFT(C58,LEN(C58)-1))&gt;=总览!$D$7),总览!$E$7,总览!$B$7))))),0)</f>
        <v/>
      </c>
      <c r="F58" s="34">
        <f>ROUND(Q57*总览!$B$14/12,0)</f>
        <v/>
      </c>
      <c r="G58" s="34">
        <f>D58+E58+F58</f>
        <v/>
      </c>
      <c r="H58" s="34">
        <f>IF(OR(B58&gt;2027,AND(B58=2027,VALUE(LEFT(C58,LEN(C58)-1))&gt;=9)),IF(AND(总览!$L$10&lt;&gt;"",B58*100+VALUE(LEFT(C58,LEN(C58)-1))&gt;=总览!$L$10),总览!$M$10,IF(AND(总览!$J$10&lt;&gt;"",B58*100+VALUE(LEFT(C58,LEN(C58)-1))&gt;=总览!$J$10),总览!$K$10,IF(AND(总览!$H$10&lt;&gt;"",B58*100+VALUE(LEFT(C58,LEN(C58)-1))&gt;=总览!$H$10),总览!$I$10,IF(AND(总览!$F$10&lt;&gt;"",B58*100+VALUE(LEFT(C58,LEN(C58)-1))&gt;=总览!$F$10),总览!$G$10,IF(AND(总览!$D$10&lt;&gt;"",B58*100+VALUE(LEFT(C58,LEN(C58)-1))&gt;=总览!$D$10),总览!$E$10,总览!$B$10))))),IF(AND(总览!$L$9&lt;&gt;"",B58*100+VALUE(LEFT(C58,LEN(C58)-1))&gt;=总览!$L$9),总览!$M$9,IF(AND(总览!$J$9&lt;&gt;"",B58*100+VALUE(LEFT(C58,LEN(C58)-1))&gt;=总览!$J$9),总览!$K$9,IF(AND(总览!$H$9&lt;&gt;"",B58*100+VALUE(LEFT(C58,LEN(C58)-1))&gt;=总览!$H$9),总览!$I$9,IF(AND(总览!$F$9&lt;&gt;"",B58*100+VALUE(LEFT(C58,LEN(C58)-1))&gt;=总览!$F$9),总览!$G$9,IF(AND(总览!$D$9&lt;&gt;"",B58*100+VALUE(LEFT(C58,LEN(C58)-1))&gt;=总览!$D$9),总览!$E$9,总览!$B$9))))))</f>
        <v/>
      </c>
      <c r="I58" s="34">
        <f>IF(AND(总览!$L$11&lt;&gt;"",B58*100+VALUE(LEFT(C58,LEN(C58)-1))&gt;=总览!$L$11),总览!$M$11,IF(AND(总览!$J$11&lt;&gt;"",B58*100+VALUE(LEFT(C58,LEN(C58)-1))&gt;=总览!$J$11),总览!$K$11,IF(AND(总览!$H$11&lt;&gt;"",B58*100+VALUE(LEFT(C58,LEN(C58)-1))&gt;=总览!$H$11),总览!$I$11,IF(AND(总览!$F$11&lt;&gt;"",B58*100+VALUE(LEFT(C58,LEN(C58)-1))&gt;=总览!$F$11),总览!$G$11,IF(AND(总览!$D$11&lt;&gt;"",B58*100+VALUE(LEFT(C58,LEN(C58)-1))&gt;=总览!$D$11),总览!$E$11,总览!$B$11)))))</f>
        <v/>
      </c>
      <c r="J58" s="34">
        <f>IF(OR(B58&gt;2027,AND(B58=2027,VALUE(LEFT(C58,LEN(C58)-1))&gt;=9)),IF(AND(总览!$L$12&lt;&gt;"",B58*100+VALUE(LEFT(C58,LEN(C58)-1))&gt;=总览!$L$12),总览!$M$12,IF(AND(总览!$J$12&lt;&gt;"",B58*100+VALUE(LEFT(C58,LEN(C58)-1))&gt;=总览!$J$12),总览!$K$12,IF(AND(总览!$H$12&lt;&gt;"",B58*100+VALUE(LEFT(C58,LEN(C58)-1))&gt;=总览!$H$12),总览!$I$12,IF(AND(总览!$F$12&lt;&gt;"",B58*100+VALUE(LEFT(C58,LEN(C58)-1))&gt;=总览!$F$12),总览!$G$12,IF(AND(总览!$D$12&lt;&gt;"",B58*100+VALUE(LEFT(C58,LEN(C58)-1))&gt;=总览!$D$12),总览!$E$12,总览!$B$12))))),0)</f>
        <v/>
      </c>
      <c r="K58" s="34">
        <f>IF(AND(B58=2026,C58="5月"),120000,IF(AND(B58=2027,C58="9月"),30000,IF(C58="10月",IF(AND(总览!$L$13&lt;&gt;"",B58*100+VALUE(LEFT(C58,LEN(C58)-1))&gt;=总览!$L$13),总览!$M$13,IF(AND(总览!$J$13&lt;&gt;"",B58*100+VALUE(LEFT(C58,LEN(C58)-1))&gt;=总览!$J$13),总览!$K$13,IF(AND(总览!$H$13&lt;&gt;"",B58*100+VALUE(LEFT(C58,LEN(C58)-1))&gt;=总览!$H$13),总览!$I$13,IF(AND(总览!$F$13&lt;&gt;"",B58*100+VALUE(LEFT(C58,LEN(C58)-1))&gt;=总览!$F$13),总览!$G$13,IF(AND(总览!$D$13&lt;&gt;"",B58*100+VALUE(LEFT(C58,LEN(C58)-1))&gt;=总览!$D$13),总览!$E$13,总览!$B$13))))),0)))</f>
        <v/>
      </c>
      <c r="L58" s="33" t="inlineStr">
        <is>
          <t>年度旅游</t>
        </is>
      </c>
      <c r="M58" s="34">
        <f>IF(B58*100+VALUE(LEFT(C58,LEN(C58)-1))=总览!$B$18,总览!$B$23,0)</f>
        <v/>
      </c>
      <c r="N58" s="34">
        <f>IF(B58*100+VALUE(LEFT(C58,LEN(C58)-1))&gt;总览!$B$18,总览!$B$25,0)</f>
        <v/>
      </c>
      <c r="O58" s="34">
        <f>SUM(H58:J58)+K58+M58+N58</f>
        <v/>
      </c>
      <c r="P58" s="34">
        <f>G58-O58</f>
        <v/>
      </c>
      <c r="Q58" s="34">
        <f>Q57+P58</f>
        <v/>
      </c>
      <c r="R58" s="34">
        <f>IF(B58*100+VALUE(LEFT(C58,LEN(C58)-1))&lt;总览!$B$18,0,IF(B58*100+VALUE(LEFT(C58,LEN(C58)-1))=总览!$B$18,总览!$B$24,R57-(总览!$B$25-R57*总览!$B$22/12)))</f>
        <v/>
      </c>
    </row>
    <row r="59">
      <c r="A59" s="31" t="n">
        <v>58</v>
      </c>
      <c r="B59" s="31" t="n">
        <v>2030</v>
      </c>
      <c r="C59" s="31" t="inlineStr">
        <is>
          <t>11月</t>
        </is>
      </c>
      <c r="D59" s="32">
        <f>IF(AND(总览!$L$6&lt;&gt;"",B59*100+VALUE(LEFT(C59,LEN(C59)-1))&gt;=总览!$L$6),总览!$M$6,IF(AND(总览!$J$6&lt;&gt;"",B59*100+VALUE(LEFT(C59,LEN(C59)-1))&gt;=总览!$J$6),总览!$K$6,IF(AND(总览!$H$6&lt;&gt;"",B59*100+VALUE(LEFT(C59,LEN(C59)-1))&gt;=总览!$H$6),总览!$I$6,IF(AND(总览!$F$6&lt;&gt;"",B59*100+VALUE(LEFT(C59,LEN(C59)-1))&gt;=总览!$F$6),总览!$G$6,IF(AND(总览!$D$6&lt;&gt;"",B59*100+VALUE(LEFT(C59,LEN(C59)-1))&gt;=总览!$D$6),总览!$E$6,总览!$B$6)))))</f>
        <v/>
      </c>
      <c r="E59" s="32">
        <f>IF(C59="12月",IF(AND(总览!$L$7&lt;&gt;"",B59*100+VALUE(LEFT(C59,LEN(C59)-1))&gt;=总览!$L$7),总览!$M$7,IF(AND(总览!$J$7&lt;&gt;"",B59*100+VALUE(LEFT(C59,LEN(C59)-1))&gt;=总览!$J$7),总览!$K$7,IF(AND(总览!$H$7&lt;&gt;"",B59*100+VALUE(LEFT(C59,LEN(C59)-1))&gt;=总览!$H$7),总览!$I$7,IF(AND(总览!$F$7&lt;&gt;"",B59*100+VALUE(LEFT(C59,LEN(C59)-1))&gt;=总览!$F$7),总览!$G$7,IF(AND(总览!$D$7&lt;&gt;"",B59*100+VALUE(LEFT(C59,LEN(C59)-1))&gt;=总览!$D$7),总览!$E$7,总览!$B$7))))),0)</f>
        <v/>
      </c>
      <c r="F59" s="32">
        <f>ROUND(Q58*总览!$B$14/12,0)</f>
        <v/>
      </c>
      <c r="G59" s="32">
        <f>D59+E59+F59</f>
        <v/>
      </c>
      <c r="H59" s="32">
        <f>IF(OR(B59&gt;2027,AND(B59=2027,VALUE(LEFT(C59,LEN(C59)-1))&gt;=9)),IF(AND(总览!$L$10&lt;&gt;"",B59*100+VALUE(LEFT(C59,LEN(C59)-1))&gt;=总览!$L$10),总览!$M$10,IF(AND(总览!$J$10&lt;&gt;"",B59*100+VALUE(LEFT(C59,LEN(C59)-1))&gt;=总览!$J$10),总览!$K$10,IF(AND(总览!$H$10&lt;&gt;"",B59*100+VALUE(LEFT(C59,LEN(C59)-1))&gt;=总览!$H$10),总览!$I$10,IF(AND(总览!$F$10&lt;&gt;"",B59*100+VALUE(LEFT(C59,LEN(C59)-1))&gt;=总览!$F$10),总览!$G$10,IF(AND(总览!$D$10&lt;&gt;"",B59*100+VALUE(LEFT(C59,LEN(C59)-1))&gt;=总览!$D$10),总览!$E$10,总览!$B$10))))),IF(AND(总览!$L$9&lt;&gt;"",B59*100+VALUE(LEFT(C59,LEN(C59)-1))&gt;=总览!$L$9),总览!$M$9,IF(AND(总览!$J$9&lt;&gt;"",B59*100+VALUE(LEFT(C59,LEN(C59)-1))&gt;=总览!$J$9),总览!$K$9,IF(AND(总览!$H$9&lt;&gt;"",B59*100+VALUE(LEFT(C59,LEN(C59)-1))&gt;=总览!$H$9),总览!$I$9,IF(AND(总览!$F$9&lt;&gt;"",B59*100+VALUE(LEFT(C59,LEN(C59)-1))&gt;=总览!$F$9),总览!$G$9,IF(AND(总览!$D$9&lt;&gt;"",B59*100+VALUE(LEFT(C59,LEN(C59)-1))&gt;=总览!$D$9),总览!$E$9,总览!$B$9))))))</f>
        <v/>
      </c>
      <c r="I59" s="32">
        <f>IF(AND(总览!$L$11&lt;&gt;"",B59*100+VALUE(LEFT(C59,LEN(C59)-1))&gt;=总览!$L$11),总览!$M$11,IF(AND(总览!$J$11&lt;&gt;"",B59*100+VALUE(LEFT(C59,LEN(C59)-1))&gt;=总览!$J$11),总览!$K$11,IF(AND(总览!$H$11&lt;&gt;"",B59*100+VALUE(LEFT(C59,LEN(C59)-1))&gt;=总览!$H$11),总览!$I$11,IF(AND(总览!$F$11&lt;&gt;"",B59*100+VALUE(LEFT(C59,LEN(C59)-1))&gt;=总览!$F$11),总览!$G$11,IF(AND(总览!$D$11&lt;&gt;"",B59*100+VALUE(LEFT(C59,LEN(C59)-1))&gt;=总览!$D$11),总览!$E$11,总览!$B$11)))))</f>
        <v/>
      </c>
      <c r="J59" s="32">
        <f>IF(OR(B59&gt;2027,AND(B59=2027,VALUE(LEFT(C59,LEN(C59)-1))&gt;=9)),IF(AND(总览!$L$12&lt;&gt;"",B59*100+VALUE(LEFT(C59,LEN(C59)-1))&gt;=总览!$L$12),总览!$M$12,IF(AND(总览!$J$12&lt;&gt;"",B59*100+VALUE(LEFT(C59,LEN(C59)-1))&gt;=总览!$J$12),总览!$K$12,IF(AND(总览!$H$12&lt;&gt;"",B59*100+VALUE(LEFT(C59,LEN(C59)-1))&gt;=总览!$H$12),总览!$I$12,IF(AND(总览!$F$12&lt;&gt;"",B59*100+VALUE(LEFT(C59,LEN(C59)-1))&gt;=总览!$F$12),总览!$G$12,IF(AND(总览!$D$12&lt;&gt;"",B59*100+VALUE(LEFT(C59,LEN(C59)-1))&gt;=总览!$D$12),总览!$E$12,总览!$B$12))))),0)</f>
        <v/>
      </c>
      <c r="K59" s="32">
        <f>IF(AND(B59=2026,C59="5月"),120000,IF(AND(B59=2027,C59="9月"),30000,IF(C59="10月",IF(AND(总览!$L$13&lt;&gt;"",B59*100+VALUE(LEFT(C59,LEN(C59)-1))&gt;=总览!$L$13),总览!$M$13,IF(AND(总览!$J$13&lt;&gt;"",B59*100+VALUE(LEFT(C59,LEN(C59)-1))&gt;=总览!$J$13),总览!$K$13,IF(AND(总览!$H$13&lt;&gt;"",B59*100+VALUE(LEFT(C59,LEN(C59)-1))&gt;=总览!$H$13),总览!$I$13,IF(AND(总览!$F$13&lt;&gt;"",B59*100+VALUE(LEFT(C59,LEN(C59)-1))&gt;=总览!$F$13),总览!$G$13,IF(AND(总览!$D$13&lt;&gt;"",B59*100+VALUE(LEFT(C59,LEN(C59)-1))&gt;=总览!$D$13),总览!$E$13,总览!$B$13))))),0)))</f>
        <v/>
      </c>
      <c r="L59" s="31" t="inlineStr"/>
      <c r="M59" s="32">
        <f>IF(B59*100+VALUE(LEFT(C59,LEN(C59)-1))=总览!$B$18,总览!$B$23,0)</f>
        <v/>
      </c>
      <c r="N59" s="32">
        <f>IF(B59*100+VALUE(LEFT(C59,LEN(C59)-1))&gt;总览!$B$18,总览!$B$25,0)</f>
        <v/>
      </c>
      <c r="O59" s="32">
        <f>SUM(H59:J59)+K59+M59+N59</f>
        <v/>
      </c>
      <c r="P59" s="32">
        <f>G59-O59</f>
        <v/>
      </c>
      <c r="Q59" s="32">
        <f>Q58+P59</f>
        <v/>
      </c>
      <c r="R59" s="32">
        <f>IF(B59*100+VALUE(LEFT(C59,LEN(C59)-1))&lt;总览!$B$18,0,IF(B59*100+VALUE(LEFT(C59,LEN(C59)-1))=总览!$B$18,总览!$B$24,R58-(总览!$B$25-R58*总览!$B$22/12)))</f>
        <v/>
      </c>
    </row>
    <row r="60">
      <c r="A60" s="35" t="n">
        <v>59</v>
      </c>
      <c r="B60" s="35" t="n">
        <v>2030</v>
      </c>
      <c r="C60" s="35" t="inlineStr">
        <is>
          <t>12月</t>
        </is>
      </c>
      <c r="D60" s="36">
        <f>IF(AND(总览!$L$6&lt;&gt;"",B60*100+VALUE(LEFT(C60,LEN(C60)-1))&gt;=总览!$L$6),总览!$M$6,IF(AND(总览!$J$6&lt;&gt;"",B60*100+VALUE(LEFT(C60,LEN(C60)-1))&gt;=总览!$J$6),总览!$K$6,IF(AND(总览!$H$6&lt;&gt;"",B60*100+VALUE(LEFT(C60,LEN(C60)-1))&gt;=总览!$H$6),总览!$I$6,IF(AND(总览!$F$6&lt;&gt;"",B60*100+VALUE(LEFT(C60,LEN(C60)-1))&gt;=总览!$F$6),总览!$G$6,IF(AND(总览!$D$6&lt;&gt;"",B60*100+VALUE(LEFT(C60,LEN(C60)-1))&gt;=总览!$D$6),总览!$E$6,总览!$B$6)))))</f>
        <v/>
      </c>
      <c r="E60" s="36">
        <f>IF(C60="12月",IF(AND(总览!$L$7&lt;&gt;"",B60*100+VALUE(LEFT(C60,LEN(C60)-1))&gt;=总览!$L$7),总览!$M$7,IF(AND(总览!$J$7&lt;&gt;"",B60*100+VALUE(LEFT(C60,LEN(C60)-1))&gt;=总览!$J$7),总览!$K$7,IF(AND(总览!$H$7&lt;&gt;"",B60*100+VALUE(LEFT(C60,LEN(C60)-1))&gt;=总览!$H$7),总览!$I$7,IF(AND(总览!$F$7&lt;&gt;"",B60*100+VALUE(LEFT(C60,LEN(C60)-1))&gt;=总览!$F$7),总览!$G$7,IF(AND(总览!$D$7&lt;&gt;"",B60*100+VALUE(LEFT(C60,LEN(C60)-1))&gt;=总览!$D$7),总览!$E$7,总览!$B$7))))),0)</f>
        <v/>
      </c>
      <c r="F60" s="36">
        <f>ROUND(Q59*总览!$B$14/12,0)</f>
        <v/>
      </c>
      <c r="G60" s="36">
        <f>D60+E60+F60</f>
        <v/>
      </c>
      <c r="H60" s="36">
        <f>IF(OR(B60&gt;2027,AND(B60=2027,VALUE(LEFT(C60,LEN(C60)-1))&gt;=9)),IF(AND(总览!$L$10&lt;&gt;"",B60*100+VALUE(LEFT(C60,LEN(C60)-1))&gt;=总览!$L$10),总览!$M$10,IF(AND(总览!$J$10&lt;&gt;"",B60*100+VALUE(LEFT(C60,LEN(C60)-1))&gt;=总览!$J$10),总览!$K$10,IF(AND(总览!$H$10&lt;&gt;"",B60*100+VALUE(LEFT(C60,LEN(C60)-1))&gt;=总览!$H$10),总览!$I$10,IF(AND(总览!$F$10&lt;&gt;"",B60*100+VALUE(LEFT(C60,LEN(C60)-1))&gt;=总览!$F$10),总览!$G$10,IF(AND(总览!$D$10&lt;&gt;"",B60*100+VALUE(LEFT(C60,LEN(C60)-1))&gt;=总览!$D$10),总览!$E$10,总览!$B$10))))),IF(AND(总览!$L$9&lt;&gt;"",B60*100+VALUE(LEFT(C60,LEN(C60)-1))&gt;=总览!$L$9),总览!$M$9,IF(AND(总览!$J$9&lt;&gt;"",B60*100+VALUE(LEFT(C60,LEN(C60)-1))&gt;=总览!$J$9),总览!$K$9,IF(AND(总览!$H$9&lt;&gt;"",B60*100+VALUE(LEFT(C60,LEN(C60)-1))&gt;=总览!$H$9),总览!$I$9,IF(AND(总览!$F$9&lt;&gt;"",B60*100+VALUE(LEFT(C60,LEN(C60)-1))&gt;=总览!$F$9),总览!$G$9,IF(AND(总览!$D$9&lt;&gt;"",B60*100+VALUE(LEFT(C60,LEN(C60)-1))&gt;=总览!$D$9),总览!$E$9,总览!$B$9))))))</f>
        <v/>
      </c>
      <c r="I60" s="36">
        <f>IF(AND(总览!$L$11&lt;&gt;"",B60*100+VALUE(LEFT(C60,LEN(C60)-1))&gt;=总览!$L$11),总览!$M$11,IF(AND(总览!$J$11&lt;&gt;"",B60*100+VALUE(LEFT(C60,LEN(C60)-1))&gt;=总览!$J$11),总览!$K$11,IF(AND(总览!$H$11&lt;&gt;"",B60*100+VALUE(LEFT(C60,LEN(C60)-1))&gt;=总览!$H$11),总览!$I$11,IF(AND(总览!$F$11&lt;&gt;"",B60*100+VALUE(LEFT(C60,LEN(C60)-1))&gt;=总览!$F$11),总览!$G$11,IF(AND(总览!$D$11&lt;&gt;"",B60*100+VALUE(LEFT(C60,LEN(C60)-1))&gt;=总览!$D$11),总览!$E$11,总览!$B$11)))))</f>
        <v/>
      </c>
      <c r="J60" s="36">
        <f>IF(OR(B60&gt;2027,AND(B60=2027,VALUE(LEFT(C60,LEN(C60)-1))&gt;=9)),IF(AND(总览!$L$12&lt;&gt;"",B60*100+VALUE(LEFT(C60,LEN(C60)-1))&gt;=总览!$L$12),总览!$M$12,IF(AND(总览!$J$12&lt;&gt;"",B60*100+VALUE(LEFT(C60,LEN(C60)-1))&gt;=总览!$J$12),总览!$K$12,IF(AND(总览!$H$12&lt;&gt;"",B60*100+VALUE(LEFT(C60,LEN(C60)-1))&gt;=总览!$H$12),总览!$I$12,IF(AND(总览!$F$12&lt;&gt;"",B60*100+VALUE(LEFT(C60,LEN(C60)-1))&gt;=总览!$F$12),总览!$G$12,IF(AND(总览!$D$12&lt;&gt;"",B60*100+VALUE(LEFT(C60,LEN(C60)-1))&gt;=总览!$D$12),总览!$E$12,总览!$B$12))))),0)</f>
        <v/>
      </c>
      <c r="K60" s="36">
        <f>IF(AND(B60=2026,C60="5月"),120000,IF(AND(B60=2027,C60="9月"),30000,IF(C60="10月",IF(AND(总览!$L$13&lt;&gt;"",B60*100+VALUE(LEFT(C60,LEN(C60)-1))&gt;=总览!$L$13),总览!$M$13,IF(AND(总览!$J$13&lt;&gt;"",B60*100+VALUE(LEFT(C60,LEN(C60)-1))&gt;=总览!$J$13),总览!$K$13,IF(AND(总览!$H$13&lt;&gt;"",B60*100+VALUE(LEFT(C60,LEN(C60)-1))&gt;=总览!$H$13),总览!$I$13,IF(AND(总览!$F$13&lt;&gt;"",B60*100+VALUE(LEFT(C60,LEN(C60)-1))&gt;=总览!$F$13),总览!$G$13,IF(AND(总览!$D$13&lt;&gt;"",B60*100+VALUE(LEFT(C60,LEN(C60)-1))&gt;=总览!$D$13),总览!$E$13,总览!$B$13))))),0)))</f>
        <v/>
      </c>
      <c r="L60" s="35" t="inlineStr"/>
      <c r="M60" s="36">
        <f>IF(B60*100+VALUE(LEFT(C60,LEN(C60)-1))=总览!$B$18,总览!$B$23,0)</f>
        <v/>
      </c>
      <c r="N60" s="36">
        <f>IF(B60*100+VALUE(LEFT(C60,LEN(C60)-1))&gt;总览!$B$18,总览!$B$25,0)</f>
        <v/>
      </c>
      <c r="O60" s="36">
        <f>SUM(H60:J60)+K60+M60+N60</f>
        <v/>
      </c>
      <c r="P60" s="36">
        <f>G60-O60</f>
        <v/>
      </c>
      <c r="Q60" s="36">
        <f>Q59+P60</f>
        <v/>
      </c>
      <c r="R60" s="36">
        <f>IF(B60*100+VALUE(LEFT(C60,LEN(C60)-1))&lt;总览!$B$18,0,IF(B60*100+VALUE(LEFT(C60,LEN(C60)-1))=总览!$B$18,总览!$B$24,R59-(总览!$B$25-R59*总览!$B$22/12)))</f>
        <v/>
      </c>
    </row>
    <row r="61">
      <c r="A61" s="31" t="n">
        <v>60</v>
      </c>
      <c r="B61" s="31" t="n">
        <v>2031</v>
      </c>
      <c r="C61" s="31" t="inlineStr">
        <is>
          <t>1月</t>
        </is>
      </c>
      <c r="D61" s="32">
        <f>IF(AND(总览!$L$6&lt;&gt;"",B61*100+VALUE(LEFT(C61,LEN(C61)-1))&gt;=总览!$L$6),总览!$M$6,IF(AND(总览!$J$6&lt;&gt;"",B61*100+VALUE(LEFT(C61,LEN(C61)-1))&gt;=总览!$J$6),总览!$K$6,IF(AND(总览!$H$6&lt;&gt;"",B61*100+VALUE(LEFT(C61,LEN(C61)-1))&gt;=总览!$H$6),总览!$I$6,IF(AND(总览!$F$6&lt;&gt;"",B61*100+VALUE(LEFT(C61,LEN(C61)-1))&gt;=总览!$F$6),总览!$G$6,IF(AND(总览!$D$6&lt;&gt;"",B61*100+VALUE(LEFT(C61,LEN(C61)-1))&gt;=总览!$D$6),总览!$E$6,总览!$B$6)))))</f>
        <v/>
      </c>
      <c r="E61" s="32">
        <f>IF(C61="12月",IF(AND(总览!$L$7&lt;&gt;"",B61*100+VALUE(LEFT(C61,LEN(C61)-1))&gt;=总览!$L$7),总览!$M$7,IF(AND(总览!$J$7&lt;&gt;"",B61*100+VALUE(LEFT(C61,LEN(C61)-1))&gt;=总览!$J$7),总览!$K$7,IF(AND(总览!$H$7&lt;&gt;"",B61*100+VALUE(LEFT(C61,LEN(C61)-1))&gt;=总览!$H$7),总览!$I$7,IF(AND(总览!$F$7&lt;&gt;"",B61*100+VALUE(LEFT(C61,LEN(C61)-1))&gt;=总览!$F$7),总览!$G$7,IF(AND(总览!$D$7&lt;&gt;"",B61*100+VALUE(LEFT(C61,LEN(C61)-1))&gt;=总览!$D$7),总览!$E$7,总览!$B$7))))),0)</f>
        <v/>
      </c>
      <c r="F61" s="32">
        <f>ROUND(Q60*总览!$B$14/12,0)</f>
        <v/>
      </c>
      <c r="G61" s="32">
        <f>D61+E61+F61</f>
        <v/>
      </c>
      <c r="H61" s="32">
        <f>IF(OR(B61&gt;2027,AND(B61=2027,VALUE(LEFT(C61,LEN(C61)-1))&gt;=9)),IF(AND(总览!$L$10&lt;&gt;"",B61*100+VALUE(LEFT(C61,LEN(C61)-1))&gt;=总览!$L$10),总览!$M$10,IF(AND(总览!$J$10&lt;&gt;"",B61*100+VALUE(LEFT(C61,LEN(C61)-1))&gt;=总览!$J$10),总览!$K$10,IF(AND(总览!$H$10&lt;&gt;"",B61*100+VALUE(LEFT(C61,LEN(C61)-1))&gt;=总览!$H$10),总览!$I$10,IF(AND(总览!$F$10&lt;&gt;"",B61*100+VALUE(LEFT(C61,LEN(C61)-1))&gt;=总览!$F$10),总览!$G$10,IF(AND(总览!$D$10&lt;&gt;"",B61*100+VALUE(LEFT(C61,LEN(C61)-1))&gt;=总览!$D$10),总览!$E$10,总览!$B$10))))),IF(AND(总览!$L$9&lt;&gt;"",B61*100+VALUE(LEFT(C61,LEN(C61)-1))&gt;=总览!$L$9),总览!$M$9,IF(AND(总览!$J$9&lt;&gt;"",B61*100+VALUE(LEFT(C61,LEN(C61)-1))&gt;=总览!$J$9),总览!$K$9,IF(AND(总览!$H$9&lt;&gt;"",B61*100+VALUE(LEFT(C61,LEN(C61)-1))&gt;=总览!$H$9),总览!$I$9,IF(AND(总览!$F$9&lt;&gt;"",B61*100+VALUE(LEFT(C61,LEN(C61)-1))&gt;=总览!$F$9),总览!$G$9,IF(AND(总览!$D$9&lt;&gt;"",B61*100+VALUE(LEFT(C61,LEN(C61)-1))&gt;=总览!$D$9),总览!$E$9,总览!$B$9))))))</f>
        <v/>
      </c>
      <c r="I61" s="32">
        <f>IF(AND(总览!$L$11&lt;&gt;"",B61*100+VALUE(LEFT(C61,LEN(C61)-1))&gt;=总览!$L$11),总览!$M$11,IF(AND(总览!$J$11&lt;&gt;"",B61*100+VALUE(LEFT(C61,LEN(C61)-1))&gt;=总览!$J$11),总览!$K$11,IF(AND(总览!$H$11&lt;&gt;"",B61*100+VALUE(LEFT(C61,LEN(C61)-1))&gt;=总览!$H$11),总览!$I$11,IF(AND(总览!$F$11&lt;&gt;"",B61*100+VALUE(LEFT(C61,LEN(C61)-1))&gt;=总览!$F$11),总览!$G$11,IF(AND(总览!$D$11&lt;&gt;"",B61*100+VALUE(LEFT(C61,LEN(C61)-1))&gt;=总览!$D$11),总览!$E$11,总览!$B$11)))))</f>
        <v/>
      </c>
      <c r="J61" s="32">
        <f>IF(OR(B61&gt;2027,AND(B61=2027,VALUE(LEFT(C61,LEN(C61)-1))&gt;=9)),IF(AND(总览!$L$12&lt;&gt;"",B61*100+VALUE(LEFT(C61,LEN(C61)-1))&gt;=总览!$L$12),总览!$M$12,IF(AND(总览!$J$12&lt;&gt;"",B61*100+VALUE(LEFT(C61,LEN(C61)-1))&gt;=总览!$J$12),总览!$K$12,IF(AND(总览!$H$12&lt;&gt;"",B61*100+VALUE(LEFT(C61,LEN(C61)-1))&gt;=总览!$H$12),总览!$I$12,IF(AND(总览!$F$12&lt;&gt;"",B61*100+VALUE(LEFT(C61,LEN(C61)-1))&gt;=总览!$F$12),总览!$G$12,IF(AND(总览!$D$12&lt;&gt;"",B61*100+VALUE(LEFT(C61,LEN(C61)-1))&gt;=总览!$D$12),总览!$E$12,总览!$B$12))))),0)</f>
        <v/>
      </c>
      <c r="K61" s="32">
        <f>IF(AND(B61=2026,C61="5月"),120000,IF(AND(B61=2027,C61="9月"),30000,IF(C61="10月",IF(AND(总览!$L$13&lt;&gt;"",B61*100+VALUE(LEFT(C61,LEN(C61)-1))&gt;=总览!$L$13),总览!$M$13,IF(AND(总览!$J$13&lt;&gt;"",B61*100+VALUE(LEFT(C61,LEN(C61)-1))&gt;=总览!$J$13),总览!$K$13,IF(AND(总览!$H$13&lt;&gt;"",B61*100+VALUE(LEFT(C61,LEN(C61)-1))&gt;=总览!$H$13),总览!$I$13,IF(AND(总览!$F$13&lt;&gt;"",B61*100+VALUE(LEFT(C61,LEN(C61)-1))&gt;=总览!$F$13),总览!$G$13,IF(AND(总览!$D$13&lt;&gt;"",B61*100+VALUE(LEFT(C61,LEN(C61)-1))&gt;=总览!$D$13),总览!$E$13,总览!$B$13))))),0)))</f>
        <v/>
      </c>
      <c r="L61" s="31" t="inlineStr"/>
      <c r="M61" s="32">
        <f>IF(B61*100+VALUE(LEFT(C61,LEN(C61)-1))=总览!$B$18,总览!$B$23,0)</f>
        <v/>
      </c>
      <c r="N61" s="32">
        <f>IF(B61*100+VALUE(LEFT(C61,LEN(C61)-1))&gt;总览!$B$18,总览!$B$25,0)</f>
        <v/>
      </c>
      <c r="O61" s="32">
        <f>SUM(H61:J61)+K61+M61+N61</f>
        <v/>
      </c>
      <c r="P61" s="32">
        <f>G61-O61</f>
        <v/>
      </c>
      <c r="Q61" s="32">
        <f>Q60+P61</f>
        <v/>
      </c>
      <c r="R61" s="32">
        <f>IF(B61*100+VALUE(LEFT(C61,LEN(C61)-1))&lt;总览!$B$18,0,IF(B61*100+VALUE(LEFT(C61,LEN(C61)-1))=总览!$B$18,总览!$B$24,R60-(总览!$B$25-R60*总览!$B$22/12)))</f>
        <v/>
      </c>
    </row>
    <row r="63">
      <c r="A63" s="37" t="inlineStr">
        <is>
          <t>图例说明：</t>
        </is>
      </c>
      <c r="B63" s="38" t="inlineStr">
        <is>
          <t>蓝色=输入值</t>
        </is>
      </c>
      <c r="D63" s="39" t="inlineStr">
        <is>
          <t>黄底=重大支出月</t>
        </is>
      </c>
      <c r="F63" s="40" t="inlineStr">
        <is>
          <t>绿底=年终奖月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2026-02-26T14:42:14Z</dcterms:created>
  <dcterms:modified xsi:type="dcterms:W3CDTF">2026-02-26T14:42:14Z</dcterms:modified>
</cp:coreProperties>
</file>